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4240" yWindow="640" windowWidth="28040" windowHeight="15800"/>
  </bookViews>
  <sheets>
    <sheet name="1-物料数据" sheetId="2" r:id="rId1"/>
    <sheet name="2-供需数据" sheetId="3" r:id="rId2"/>
    <sheet name="3-前置订单数据" sheetId="4" r:id="rId3"/>
    <sheet name="4-上次末生产物料" sheetId="5" r:id="rId4"/>
    <sheet name="5-产线数据" sheetId="6" r:id="rId5"/>
    <sheet name="6-产能数据" sheetId="7" r:id="rId6"/>
    <sheet name="车间班次" sheetId="8" r:id="rId7"/>
    <sheet name="换型规则" sheetId="9" r:id="rId8"/>
    <sheet name="字段说明" sheetId="10" r:id="rId9"/>
  </sheets>
  <definedNames>
    <definedName name="_xlnm._FilterDatabase" localSheetId="0" hidden="1">'1-物料数据'!$A$1:$M$120</definedName>
    <definedName name="_xlnm._FilterDatabase" localSheetId="1" hidden="1">'2-供需数据'!$A$1:$P$120</definedName>
    <definedName name="_xlnm._FilterDatabase" localSheetId="5" hidden="1">'6-产能数据'!$A$1:$D$281</definedName>
  </definedNames>
  <calcPr calcId="144525"/>
</workbook>
</file>

<file path=xl/sharedStrings.xml><?xml version="1.0" encoding="utf-8"?>
<sst xmlns="http://schemas.openxmlformats.org/spreadsheetml/2006/main" count="373">
  <si>
    <t>物料编号</t>
  </si>
  <si>
    <t>物料名称</t>
  </si>
  <si>
    <t>关联半成品编号</t>
  </si>
  <si>
    <t>关联半成品名称</t>
  </si>
  <si>
    <t>包装类型</t>
  </si>
  <si>
    <t>生产周期</t>
  </si>
  <si>
    <t>粒径</t>
  </si>
  <si>
    <t>生产工艺(生产对标料型)</t>
  </si>
  <si>
    <t>二级物料组</t>
  </si>
  <si>
    <t>三级物料组</t>
  </si>
  <si>
    <t>四级物料组</t>
  </si>
  <si>
    <t>加药标识</t>
  </si>
  <si>
    <t>加色标识</t>
  </si>
  <si>
    <t>海大牌罗非鱼配合饲料127-L40Φ3.0</t>
  </si>
  <si>
    <t>127颗粒罗非鱼料配料半成品</t>
  </si>
  <si>
    <t>包料</t>
  </si>
  <si>
    <t>普通颗粒鱼料非超微2.6-3.5</t>
  </si>
  <si>
    <t>普水料</t>
  </si>
  <si>
    <t>罗非鱼</t>
  </si>
  <si>
    <t>颗粒料</t>
  </si>
  <si>
    <t>否</t>
  </si>
  <si>
    <t>海大牌草鱼配合饲料101-L40Φ3.0</t>
  </si>
  <si>
    <t>草鱼</t>
  </si>
  <si>
    <t>海大牌草鱼配合饲料188-L40Φ3.0</t>
  </si>
  <si>
    <t>666鱼种料配料半成品</t>
  </si>
  <si>
    <t>海大牌蛋鸭配合饲料933B-L40Φ3.8</t>
  </si>
  <si>
    <t>612B红心蛋鸭料配料半成品</t>
  </si>
  <si>
    <t>颗粒鸭料&gt;3.5</t>
  </si>
  <si>
    <t>禽料</t>
  </si>
  <si>
    <t>蛋鸭</t>
  </si>
  <si>
    <t>蛋鸭料</t>
  </si>
  <si>
    <t>海大牌蛋鸭配合饲料935B-L40Φ3.8</t>
  </si>
  <si>
    <t>828B蛋鸭料半成品</t>
  </si>
  <si>
    <t>海恒牌蛋鸭配合饲料613B-L40Φ3.8</t>
  </si>
  <si>
    <t>613B红心蛋鸭料配料半成品</t>
  </si>
  <si>
    <t>海大牌小鸭配合饲料901-L40Φ2.5</t>
  </si>
  <si>
    <t>601小鸭料配料半成品</t>
  </si>
  <si>
    <t>颗粒鸭料≤2.5</t>
  </si>
  <si>
    <t>番鸭/半番鸭</t>
  </si>
  <si>
    <t>小鸭料</t>
  </si>
  <si>
    <t>海恒牌小鸭配合饲料601-L40Φ2.5</t>
  </si>
  <si>
    <t>海大牌肉鸭配合饲料906-L40Φ3.8</t>
  </si>
  <si>
    <t>608肥鸭料配料半成品</t>
  </si>
  <si>
    <t>大鸭料</t>
  </si>
  <si>
    <t>海恒牌肉鸭配合饲料235-L40Φ3.8</t>
  </si>
  <si>
    <t>663肉鸭料配料半成品</t>
  </si>
  <si>
    <t>白羽肉鸭</t>
  </si>
  <si>
    <t>海恒牌番鸭配合饲料533-L40Φ3.8</t>
  </si>
  <si>
    <t>533肉鸭料配料半成品</t>
  </si>
  <si>
    <t>海恒牌肉鸭配合饲料606-L40Φ3.8</t>
  </si>
  <si>
    <t>203肉鸭料配料半成品</t>
  </si>
  <si>
    <t>海恒牌肉鸭配合饲料688-L40Φ3.8</t>
  </si>
  <si>
    <t>688肥鸭料配料半成品</t>
  </si>
  <si>
    <t>海大牌罗非鱼配合饲料225-L40Φ3.0</t>
  </si>
  <si>
    <t>225颗粒罗非鱼料配料半成品</t>
  </si>
  <si>
    <t>海大牌鱼种配合饲料100A-1P40Φ1P</t>
  </si>
  <si>
    <t>100A鱼种料配料半成品</t>
  </si>
  <si>
    <t>普通鱼料非超微0破</t>
  </si>
  <si>
    <t>破碎料</t>
  </si>
  <si>
    <t>海大牌鱼种配合饲料100A-2P40Φ2P</t>
  </si>
  <si>
    <t>普通鱼料非超微1破</t>
  </si>
  <si>
    <t>海大牌鲮鱼配合饲料鲮鱼专用料-2P40Φ2P</t>
  </si>
  <si>
    <t>渔高丰2号配料半成品</t>
  </si>
  <si>
    <t>鲮鱼</t>
  </si>
  <si>
    <t>海大牌鱼种配合饲料100A-L40Φ2.0</t>
  </si>
  <si>
    <t>普通颗粒鱼料非超微1.6-2.5</t>
  </si>
  <si>
    <t>海大牌仔猪前期配合饲料诸多宝V1-L40Φ3.0</t>
  </si>
  <si>
    <t>HD01乳猪保育前期料配料半成品</t>
  </si>
  <si>
    <t>颗粒肉猪种猪包装&gt;3.5</t>
  </si>
  <si>
    <t>猪料</t>
  </si>
  <si>
    <t>保育料</t>
  </si>
  <si>
    <t>保育前期料</t>
  </si>
  <si>
    <t>海大牌蛋鸭配合饲料828-L40Φ3.8</t>
  </si>
  <si>
    <t>828蛋鸭料半成品</t>
  </si>
  <si>
    <t>海大牌蛋鸭配合饲料828B-L40Φ3.8</t>
  </si>
  <si>
    <t>海恒牌肉鹅配合饲料702-L40Φ3.0</t>
  </si>
  <si>
    <t>702肉鹅料配料半成品</t>
  </si>
  <si>
    <t>颗粒鹅料2.6-3.5</t>
  </si>
  <si>
    <t>鹅料</t>
  </si>
  <si>
    <t>中鹅料</t>
  </si>
  <si>
    <t>海大牌淡水鱼配合饲料(鱼先丰)-L40Φ2.0</t>
  </si>
  <si>
    <t>鱼先丰颗粒淡水鱼料配料半成品</t>
  </si>
  <si>
    <t>鲫鱼</t>
  </si>
  <si>
    <t>海大牌小猪配合饲料512-L40Φ3.8</t>
  </si>
  <si>
    <t>512小猪料配料半成品</t>
  </si>
  <si>
    <t>肉猪料</t>
  </si>
  <si>
    <t>小猪料</t>
  </si>
  <si>
    <t>海大牌小猪配合饲料552-L40Φ3.8</t>
  </si>
  <si>
    <t>552小猪料配料半成品</t>
  </si>
  <si>
    <t>海大牌大猪配合饲料555A-L40Φ3.8</t>
  </si>
  <si>
    <t>553中猪料配料半成品</t>
  </si>
  <si>
    <t>大猪料</t>
  </si>
  <si>
    <t>海大牌肉鸭配合饲料209-L40Φ3.8</t>
  </si>
  <si>
    <t>宏海牌草鱼配合饲料1602-2P40Φ2P</t>
  </si>
  <si>
    <t>宏海牌草鱼配合饲料1602-L40Φ3.0</t>
  </si>
  <si>
    <t>海大牌怀孕母猪配合饲料5G16-L40Φ3.8</t>
  </si>
  <si>
    <t>HD06怀孕母猪料配料半成品</t>
  </si>
  <si>
    <t>种猪料</t>
  </si>
  <si>
    <t>妊娠母猪料</t>
  </si>
  <si>
    <t>海大牌哺乳母猪配合饲料5G18-L40Φ3.8</t>
  </si>
  <si>
    <t>HD08哺乳母猪料配料半成品</t>
  </si>
  <si>
    <t>哺乳母猪料</t>
  </si>
  <si>
    <t>海大牌乳猪配合饲料5G11-L40Φ3.0(散装)</t>
  </si>
  <si>
    <t>111乳猪料配料半成品</t>
  </si>
  <si>
    <t>散料</t>
  </si>
  <si>
    <t>颗粒肉猪种猪散装≤3.5</t>
  </si>
  <si>
    <t>海大牌小猪配合饲料5G12-L40Φ3.8(散装)</t>
  </si>
  <si>
    <t>小猪2号配料半成品</t>
  </si>
  <si>
    <t>颗粒肉猪种猪散装&gt;3.5</t>
  </si>
  <si>
    <t>海大牌蛋鸭配合饲料935A-L40Φ3.8</t>
  </si>
  <si>
    <t>935A红心蛋鸭料配料半成品</t>
  </si>
  <si>
    <t>海大牌种公猪配合饲料5G19-L40Φ3.8(散装)</t>
  </si>
  <si>
    <t>5G19种公猪料配料半成品</t>
  </si>
  <si>
    <t>种公猪料</t>
  </si>
  <si>
    <t>海大牌后备母猪配合饲料(HD05)-L40Φ3.5</t>
  </si>
  <si>
    <t>后备前期料</t>
  </si>
  <si>
    <t>海大牌怀孕母猪配合饲料(HD06)-L40Φ3.5</t>
  </si>
  <si>
    <t>海大牌哺乳母猪配合饲料(HD08)-L40Φ3.5</t>
  </si>
  <si>
    <t>鑫生益牌蛋鸭配合饲料506H-L40Φ3.8</t>
  </si>
  <si>
    <t>506H-红心蛋鸭配料半成品</t>
  </si>
  <si>
    <t>海大牌乳猪配合饲料(保育前期料HD01)L40Φ3.5</t>
  </si>
  <si>
    <t>颗粒肉猪种猪包装≤3.5</t>
  </si>
  <si>
    <t>海大牌小猪配合饲料(HD02)L40Φ3.5</t>
  </si>
  <si>
    <t>海恒牌罗非鱼配合饲料渔高丰912-L40Φ3.0</t>
  </si>
  <si>
    <t>海恒牌鲮鱼配合饲料渔高丰1号-L40Φ3.0</t>
  </si>
  <si>
    <t>海恒牌鲮鱼配合饲料渔高丰3号-L40Φ3.0</t>
  </si>
  <si>
    <t>渔高丰鲮鱼3号配料半成品</t>
  </si>
  <si>
    <t>海大牌仔猪配合饲料(A820)L40Φ3.5(散装)</t>
  </si>
  <si>
    <t>A820仔猪料配料半成品</t>
  </si>
  <si>
    <t>海大牌大猪配合饲料(HD03)-L40Φ3.8</t>
  </si>
  <si>
    <t>海大牌蛋鸭配合饲料822B-L40Φ3.8</t>
  </si>
  <si>
    <t>海大牌后备母猪配合饲料(HD05)-L40Φ3.5(散)</t>
  </si>
  <si>
    <t>HD05后备母猪料配料半成品</t>
  </si>
  <si>
    <t>乳猪配合饲料911-L40Φ2.5(散装)</t>
  </si>
  <si>
    <t>911乳猪料配料半成品</t>
  </si>
  <si>
    <t>保育后期料</t>
  </si>
  <si>
    <t>乳猪配合饲料(乳猪旺)911T-L40Φ2.5(散装)</t>
  </si>
  <si>
    <t>911T乳猪料配料半成品</t>
  </si>
  <si>
    <t>海大牌鲮鱼配合饲料鲮鱼专用料1号-L40Φ3.0</t>
  </si>
  <si>
    <t>海大牌哺乳母猪配合饲料(HD08D)-L40Φ3.5(散)</t>
  </si>
  <si>
    <t>HD08D哺乳母猪料配料半成品</t>
  </si>
  <si>
    <t>海大牌怀孕母猪配合饲料(HD06D)-L40Φ3.5(散)</t>
  </si>
  <si>
    <t>HD06D怀孕母猪料配料半成品</t>
  </si>
  <si>
    <t>海大牌后备母猪配合饲料(HD05D)-L40Φ3.5(散)</t>
  </si>
  <si>
    <t>HD05D后备母猪料配料半成品</t>
  </si>
  <si>
    <t>海大牌后备母猪配合饲料HD07D-L40Φ3.8(散装)</t>
  </si>
  <si>
    <t>HD07D后备母猪料配料半成品</t>
  </si>
  <si>
    <t>后备后期料</t>
  </si>
  <si>
    <t>海大牌小猪配合饲料532-L40Φ3.8</t>
  </si>
  <si>
    <t>海大牌小猪料532配料半成品</t>
  </si>
  <si>
    <t>海大牌小猪配合饲料582-L40Φ3.8</t>
  </si>
  <si>
    <t>海大牌大猪配合饲料316-L40Φ3.8(散装)</t>
  </si>
  <si>
    <t>316大猪料配料半成品</t>
  </si>
  <si>
    <t>海大牌小猪配合饲料302-L40Φ3.8(散装)</t>
  </si>
  <si>
    <t>302小猪料配料半成品</t>
  </si>
  <si>
    <t>海大牌中猪配合饲料303-L40Φ3.8(散装)</t>
  </si>
  <si>
    <t>303中猪料配料半成品</t>
  </si>
  <si>
    <t>中猪料</t>
  </si>
  <si>
    <t>海大牌大猪配合饲料306-L40Φ3.8(散装)</t>
  </si>
  <si>
    <t>306大猪料配料半成品</t>
  </si>
  <si>
    <t>海大牌小鸡配合饲料511A-1P40Φ1P</t>
  </si>
  <si>
    <t>511A小鸡配料半成品</t>
  </si>
  <si>
    <t>破碎鸡料</t>
  </si>
  <si>
    <t>黄羽肉鸡</t>
  </si>
  <si>
    <t>小鸡料</t>
  </si>
  <si>
    <t>海大牌怀孕母猪配合饲料816-L40Φ3.8(散装)</t>
  </si>
  <si>
    <t>金聚成牌怀孕母猪料816配料半成品</t>
  </si>
  <si>
    <t>海大牌哺乳母猪配合饲料818-L40Φ3.8(散装)</t>
  </si>
  <si>
    <t>金聚成牌哺乳母猪料818配料半成品</t>
  </si>
  <si>
    <t>海大牌大鸡配合饲料513S-L40Φ3.5</t>
  </si>
  <si>
    <t>513大鸡料配料半成品</t>
  </si>
  <si>
    <t>颗粒鸡料&gt;3.5</t>
  </si>
  <si>
    <t>大鸡料</t>
  </si>
  <si>
    <t>海大牌中鸡配合饲料512S-L40Φ2.5</t>
  </si>
  <si>
    <t>512中鸡料配料半成品</t>
  </si>
  <si>
    <t>颗粒鸡料≤2.5</t>
  </si>
  <si>
    <t>中鸡料</t>
  </si>
  <si>
    <t>海大牌小鸡配合饲料511S-1P40Φ1P</t>
  </si>
  <si>
    <t>511小鸡料配料半成品</t>
  </si>
  <si>
    <t>海大牌小鸡配合饲料201-1P40Φ1P</t>
  </si>
  <si>
    <t>海大牌中鸡配合饲料202-L40Φ2.5</t>
  </si>
  <si>
    <t>202中鸡料配料半成品</t>
  </si>
  <si>
    <t>海大牌大鸡配合饲料203-L40Φ3.5</t>
  </si>
  <si>
    <t>203大鸡料配料半成品</t>
  </si>
  <si>
    <t>海大牌肥鸡配合饲料213-L40Φ3.5</t>
  </si>
  <si>
    <t>肥鸡料</t>
  </si>
  <si>
    <t>海大牌大鸡配合饲料503S-L40Φ3.5</t>
  </si>
  <si>
    <t>503S大鸡料配料半成品</t>
  </si>
  <si>
    <t>海大牌中鸡配合饲料212-L40Φ2.5</t>
  </si>
  <si>
    <t>海大牌大鸡配合饲料263-L40Φ3.5</t>
  </si>
  <si>
    <t>213大鸡料配料半成品</t>
  </si>
  <si>
    <t>海大牌鱼用配合饲料905-L40Φ3.0</t>
  </si>
  <si>
    <t>宏海1602草鱼料配料半成品</t>
  </si>
  <si>
    <t>宏海牌草鱼配合饲料1602-1P40Φ1P</t>
  </si>
  <si>
    <t>海大牌大猪配合饲料二育王-L(散装)Φ3.8</t>
  </si>
  <si>
    <t>二育王大猪料配料半成品</t>
  </si>
  <si>
    <t>育肥料</t>
  </si>
  <si>
    <t>海大牌蛋鸭配合饲料隆隆金-L(散装)Φ3.8</t>
  </si>
  <si>
    <t>隆隆金蛋鸭料半成品</t>
  </si>
  <si>
    <t>海大牌肥鸭配合饲料大农场专用料-L40Φ3.8</t>
  </si>
  <si>
    <t>海恒牌蛋鸭配合饲料613A-L40Φ3.8</t>
  </si>
  <si>
    <t>海大牌小猪配合饲料富美2号-L(散装)Φ3.8</t>
  </si>
  <si>
    <t>富美2号小猪料配料半成品</t>
  </si>
  <si>
    <t>海大牌中猪配合饲料富美3号-L(散装)Φ3.8</t>
  </si>
  <si>
    <t>富美3号中猪料配料半成品</t>
  </si>
  <si>
    <t>海大牌大猪配合饲料富美4号-L(散装)Φ3.8</t>
  </si>
  <si>
    <t>富美4号大猪料配料半成品</t>
  </si>
  <si>
    <t>海大牌后备母猪配合饲料富美5号-L(散装)Φ3.8</t>
  </si>
  <si>
    <t>富美5号后备母猪料配料半成品</t>
  </si>
  <si>
    <t>海大牌怀孕母猪配合饲料富美206-L(散装)Φ3.8</t>
  </si>
  <si>
    <t>富美206怀孕母猪料配料半成品</t>
  </si>
  <si>
    <t>海大牌怀孕母猪配合饲料富美6号-L(散装)Φ3.8</t>
  </si>
  <si>
    <t>富美6号怀孕母猪料配料半成品</t>
  </si>
  <si>
    <t>海大牌哺乳母猪配合饲料富美8号-L(散装)Φ3.8</t>
  </si>
  <si>
    <t>富美8号哺乳母猪料配料半成品</t>
  </si>
  <si>
    <t>海大牌肥鸡配合饲料263-L40Φ2.5</t>
  </si>
  <si>
    <t>263大鸡料配料半成品</t>
  </si>
  <si>
    <t>海大牌大猪配合饲料育肥王-L40Φ3.8</t>
  </si>
  <si>
    <t>育肥王大猪料配料半成品</t>
  </si>
  <si>
    <t>海恒牌鱼种配合饲料666-1P40Φ1P</t>
  </si>
  <si>
    <t>海恒牌鱼种配合饲料666-2P40Φ2P</t>
  </si>
  <si>
    <t>海大牌乳猪配合饲料富美1号-L(散装)Φ3.0</t>
  </si>
  <si>
    <t>富美1号乳猪料配料半成品</t>
  </si>
  <si>
    <t>海大牌蛋鸡配合饲料285-F(散装)ΦF</t>
  </si>
  <si>
    <t>285加红蛋鸡料配料半成品</t>
  </si>
  <si>
    <t>全价粉料鸡料</t>
  </si>
  <si>
    <t>蛋鸡料</t>
  </si>
  <si>
    <t>高产期料</t>
  </si>
  <si>
    <t>海大牌大鸡配合饲料133(S)-L40Φ3.5</t>
  </si>
  <si>
    <t>133S大鸡半成品</t>
  </si>
  <si>
    <t>海大牌中鸡配合饲料132(S)-L40Φ2.5</t>
  </si>
  <si>
    <t>132S中鸡半成品</t>
  </si>
  <si>
    <t>海大牌公猪配合饲料606-DGHD-L(散装)Φ3.8</t>
  </si>
  <si>
    <t>海大牌后备母猪配合饲料507-DGHD-L(散装)Φ3.8</t>
  </si>
  <si>
    <t>海大牌怀孕母猪配合饲料508-DGHD-L(散装)Φ3.8</t>
  </si>
  <si>
    <t>海大牌哺乳母猪配合饲料509-DGHD-L(散装)Φ3.8</t>
  </si>
  <si>
    <t>509哺乳母猪料配料半成品</t>
  </si>
  <si>
    <t>海大牌乳猪配合饲料JL2-DGHD-L(散装)Φ3.0</t>
  </si>
  <si>
    <t>JL2保育后期猪料配料半成品</t>
  </si>
  <si>
    <t>海大牌小猪配合饲料JL3-DGHD-L(散装)Φ3.8</t>
  </si>
  <si>
    <t>JL3小猪料配料半成品</t>
  </si>
  <si>
    <t>海大牌中猪配合饲料JL4-DGHD-L(散装)Φ3.8</t>
  </si>
  <si>
    <t>JL4中猪料配料半成品</t>
  </si>
  <si>
    <t>海大牌大猪配合饲料JL5-DGHD-L(散装)Φ3.8</t>
  </si>
  <si>
    <t>JL5大猪料配料半成品</t>
  </si>
  <si>
    <t>海大牌乳猪配合饲料-纯土猪保育料111-L(散装)Φ3.0</t>
  </si>
  <si>
    <t>海大牌怀孕母猪配合饲料-纯土猪怀孕116-L(散装)Φ3.8</t>
  </si>
  <si>
    <t>116怀孕母猪料配料半成品</t>
  </si>
  <si>
    <t>海大牌哺乳母猪配合饲料-纯土猪哺乳118-L(散装)Φ3.8</t>
  </si>
  <si>
    <t>118哺乳母猪料配料半成品</t>
  </si>
  <si>
    <t>海大牌乳猪配合饲料-黑猪保育221-L(散装)Φ3.0</t>
  </si>
  <si>
    <t>221乳猪料配料半成品</t>
  </si>
  <si>
    <t>海大牌小猪配合饲料-黑猪小猪222-L(散装)Φ3.8</t>
  </si>
  <si>
    <t>222小猪料配料半成品</t>
  </si>
  <si>
    <t>海大牌中猪配合饲料-黑猪中猪223-L(散装)Φ3.8</t>
  </si>
  <si>
    <t>223中猪料配料半成品</t>
  </si>
  <si>
    <t>海大牌大猪配合饲料-黑猪大猪223S-L(散装)Φ3.8</t>
  </si>
  <si>
    <t>223S大猪料配料半成品</t>
  </si>
  <si>
    <t>海大牌怀孕母猪配合饲料-黑猪怀孕226-L(散装)Φ3.8</t>
  </si>
  <si>
    <t>226怀孕母猪料配料半成品</t>
  </si>
  <si>
    <t>海大牌哺乳母猪配合饲料-黑猪哺乳228-L(散装)Φ3.8</t>
  </si>
  <si>
    <t>228哺乳母猪料配料半成品</t>
  </si>
  <si>
    <t>海大牌后备母猪配合饲料-黑猪后备227-L(散装)Φ3.8</t>
  </si>
  <si>
    <t>227后备母猪料配料半成品</t>
  </si>
  <si>
    <t>海大牌大猪配合饲料-白猪大猪333S-L(散装)Φ3.8</t>
  </si>
  <si>
    <t>333S大猪料配料半成品</t>
  </si>
  <si>
    <t>海大牌快大肥鸡配合饲料223-L40Φ3.5</t>
  </si>
  <si>
    <t>颗粒鸡料2.6-3.5</t>
  </si>
  <si>
    <t>海大牌鱼种配合饲料100A(中P)-2P40Φ2P</t>
  </si>
  <si>
    <r>
      <rPr>
        <sz val="11"/>
        <color rgb="FF000000"/>
        <rFont val="Noto Sans SC"/>
        <charset val="134"/>
      </rPr>
      <t>普通鱼料非超微2破</t>
    </r>
  </si>
  <si>
    <t>海大牌肉鸭配合饲料908-L40Φ3.8</t>
  </si>
  <si>
    <t>久和牌肉鸭配合饲料663-L40Φ3.8</t>
  </si>
  <si>
    <t>海恒牌肉鸭配合饲料608-L40Φ3.8</t>
  </si>
  <si>
    <t>产品分类</t>
  </si>
  <si>
    <t>T需求</t>
  </si>
  <si>
    <t>T+1需求</t>
  </si>
  <si>
    <t>T+2需求</t>
  </si>
  <si>
    <t>T+3需求</t>
  </si>
  <si>
    <t>T+4需求</t>
  </si>
  <si>
    <t>T+5需求</t>
  </si>
  <si>
    <t>T+6需求</t>
  </si>
  <si>
    <t>T+7需求</t>
  </si>
  <si>
    <t>供应</t>
  </si>
  <si>
    <t>库存最大值</t>
  </si>
  <si>
    <t>库存最小值</t>
  </si>
  <si>
    <t>前7天日均销量</t>
  </si>
  <si>
    <t>前30天日均销量</t>
  </si>
  <si>
    <t>非常规2</t>
  </si>
  <si>
    <t>常规1</t>
  </si>
  <si>
    <t>非常规1</t>
  </si>
  <si>
    <t>常规2</t>
  </si>
  <si>
    <t>海恒牌肉鸭配合饲料538-L40Φ3.8</t>
  </si>
  <si>
    <t>海大牌肉鸭配合饲料203-L40Φ3.8</t>
  </si>
  <si>
    <t>久和牌肉鸭配合饲料665-L40Φ3.8</t>
  </si>
  <si>
    <t>生产订单号</t>
  </si>
  <si>
    <t>车间</t>
  </si>
  <si>
    <t>产线</t>
  </si>
  <si>
    <t>物料</t>
  </si>
  <si>
    <t>计划产量</t>
  </si>
  <si>
    <t>已完工产量</t>
  </si>
  <si>
    <t>继续生产量</t>
  </si>
  <si>
    <t>是否上次末产品</t>
  </si>
  <si>
    <t>一车间</t>
  </si>
  <si>
    <t>二号线</t>
  </si>
  <si>
    <t>是</t>
  </si>
  <si>
    <t>上次末生产物料</t>
  </si>
  <si>
    <t>一号线</t>
  </si>
  <si>
    <t>三号线</t>
  </si>
  <si>
    <t>四号线</t>
  </si>
  <si>
    <t>二车间</t>
  </si>
  <si>
    <t>五号线</t>
  </si>
  <si>
    <t>六号线</t>
  </si>
  <si>
    <t>七号线</t>
  </si>
  <si>
    <t>产线编号</t>
  </si>
  <si>
    <t>产线名称</t>
  </si>
  <si>
    <t>所属车间</t>
  </si>
  <si>
    <t>混合机整数倍</t>
  </si>
  <si>
    <t>预估产能</t>
  </si>
  <si>
    <t>额外开班时长（小时）</t>
  </si>
  <si>
    <t>产能</t>
  </si>
  <si>
    <t>排产优先级</t>
  </si>
  <si>
    <t>班次</t>
  </si>
  <si>
    <t>开始时间</t>
  </si>
  <si>
    <t>结束时间</t>
  </si>
  <si>
    <t>早班</t>
  </si>
  <si>
    <t>08：00</t>
  </si>
  <si>
    <t>20：00</t>
  </si>
  <si>
    <t>班次说明：先开晚班，再开白班</t>
  </si>
  <si>
    <t>晚班</t>
  </si>
  <si>
    <t>物料组二级</t>
  </si>
  <si>
    <t>换型规则</t>
  </si>
  <si>
    <t>猪料、普水料</t>
  </si>
  <si>
    <t>当前物料与上一个物料，对比下列几个基础属性，存在不相同的则需要切换，取对应换型时长；若存在多个属性不相同，则取最大的换型时长：
 1. 粒径：30分钟
 2. 半成品：20分钟
 3. 二级物料组：60分钟
 4. 三级物料组：60分钟
 如果存在加药、加色的情况，需要额外增加20分钟换型时长</t>
  </si>
  <si>
    <t>当前物料与上一个物料，对比下列几个基础属性，存在不相同的则需要切换，取对应换型时长；若存在多个属性不相同，则取最大的换型时长：
 1. 粒径：30分钟
 2. 半成品：20分钟
 3. 二级物料组：60分钟
 4. 四级物料组：45分钟
 如果存在加药、加色的情况，需要额外增加20分钟换型时长</t>
  </si>
  <si>
    <t>字段</t>
  </si>
  <si>
    <t>说明</t>
  </si>
  <si>
    <t>成品物料编号</t>
  </si>
  <si>
    <t>成品物料名称</t>
  </si>
  <si>
    <t>成品物料所对应的半成品物料编号</t>
  </si>
  <si>
    <t>成品物料所对应的半成品物料名称</t>
  </si>
  <si>
    <t>区分成品物料是袋装包料，还是无包装散料，核心取值：包料、散料</t>
  </si>
  <si>
    <t>物料重复生产的间隔周期，多久生产一次该物料</t>
  </si>
  <si>
    <t>成品物料颗粒大小，若为空则是破碎料</t>
  </si>
  <si>
    <t>物料对应的料型与粒径工艺标准</t>
  </si>
  <si>
    <t>所属物料二级</t>
  </si>
  <si>
    <t>所属物料三级</t>
  </si>
  <si>
    <t>所属物料四级</t>
  </si>
  <si>
    <t>标记生产是否需要加药</t>
  </si>
  <si>
    <t>标记生产是否需要加色</t>
  </si>
  <si>
    <t>物料生产模式分类；常规 1 / 常规 2‑按库存生产；非常规 1‑集中生产；非常规 2‑按单生产，生产、交付、库存策略依据</t>
  </si>
  <si>
    <t>计划生产日期当天生产需求</t>
  </si>
  <si>
    <t>计划生产日期往后1天生产需求</t>
  </si>
  <si>
    <t>计划生产日期往后2天生产需求</t>
  </si>
  <si>
    <t>计划生产日期往后3天生产需求</t>
  </si>
  <si>
    <t>计划生产日期往后4天生产需求</t>
  </si>
  <si>
    <t>计划生产日期往后5天生产需求</t>
  </si>
  <si>
    <t>计划生产日期往后6天生产需求</t>
  </si>
  <si>
    <t>计划生产日期往后7天生产需求</t>
  </si>
  <si>
    <t>物料现有可用于满足需求的供给数量</t>
  </si>
  <si>
    <t>物料允许存放的最高安全库存数量，排产控制生产不超出该上限，防止物料积压过期</t>
  </si>
  <si>
    <t>物料允许存放的最低安全库存数量，排产时保障库存不低于该值，避免断料</t>
  </si>
  <si>
    <t>物料过去7天销售数量的日平均值</t>
  </si>
  <si>
    <t>物料过去30天销售数量的日平均值</t>
  </si>
  <si>
    <t>产线所属的生产车间</t>
  </si>
  <si>
    <t>生产车间下的生产产线</t>
  </si>
  <si>
    <t>生产订单计划生产总数量</t>
  </si>
  <si>
    <t xml:space="preserve">该订单已经完成生产入库的数量 </t>
  </si>
  <si>
    <t>计划生产日期，需要接着生产上一个日期未生产完的订单的剩余生产数量</t>
  </si>
  <si>
    <t xml:space="preserve">生产批量需为混合机容量整数倍 </t>
  </si>
  <si>
    <t>产线预估每小时产出能力</t>
  </si>
  <si>
    <t xml:space="preserve">标准班次外可追加生产时长（小时） </t>
  </si>
  <si>
    <t>物料在该产线每小时产出吨数</t>
  </si>
  <si>
    <t>同一个物料可以在多条产线生产时，优先排在哪条产线生产，数字越小，优先级越高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</si>
</sst>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30">
    <font>
      <sz val="12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2"/>
      <color rgb="FF000000"/>
      <name val="宋体"/>
      <charset val="134"/>
    </font>
    <font>
      <sz val="11"/>
      <color rgb="FF000000"/>
      <name val="等线"/>
      <charset val="134"/>
    </font>
    <font>
      <sz val="11"/>
      <color rgb="FF1F2D3D"/>
      <name val="Noto Sans SC"/>
      <charset val="134"/>
    </font>
    <font>
      <sz val="12"/>
      <color rgb="FF1F2329"/>
      <name val="宋体"/>
      <charset val="134"/>
    </font>
    <font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9C65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000000"/>
      <name val="Noto Sans SC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 applyNumberFormat="0" applyFont="0" applyFill="0" applyBorder="0" applyProtection="0"/>
    <xf numFmtId="0" fontId="14" fillId="2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7" fillId="28" borderId="12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8" fillId="24" borderId="12" applyNumberForma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19" fillId="18" borderId="10" applyNumberFormat="0" applyAlignment="0" applyProtection="0">
      <alignment vertical="center"/>
    </xf>
    <xf numFmtId="0" fontId="25" fillId="24" borderId="11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8" borderId="7" applyNumberFormat="0" applyFon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</cellStyleXfs>
  <cellXfs count="2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vertical="center" wrapText="1"/>
    </xf>
    <xf numFmtId="0" fontId="2" fillId="0" borderId="0" xfId="0" applyFont="1" applyAlignment="1"/>
    <xf numFmtId="0" fontId="5" fillId="0" borderId="0" xfId="0" applyFont="1" applyAlignment="1"/>
    <xf numFmtId="0" fontId="6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/>
    <xf numFmtId="0" fontId="5" fillId="3" borderId="0" xfId="0" applyFont="1" applyFill="1" applyAlignment="1"/>
    <xf numFmtId="0" fontId="4" fillId="0" borderId="0" xfId="0" applyFont="1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2">
    <dxf>
      <fill>
        <patternFill patternType="solid">
          <bgColor rgb="FFD9F5D6"/>
        </patternFill>
      </fill>
    </dxf>
    <dxf>
      <fill>
        <patternFill patternType="solid">
          <bgColor rgb="FFD9F5D6"/>
        </patternFill>
      </fill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267968C86FFD4C36ACC19EA1FD1885CA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</sheetPr>
  <dimension ref="A1:M120"/>
  <sheetViews>
    <sheetView tabSelected="1" workbookViewId="0">
      <selection activeCell="A1" sqref="A1"/>
    </sheetView>
  </sheetViews>
  <sheetFormatPr defaultColWidth="8" defaultRowHeight="14.25"/>
  <cols>
    <col min="2" max="2" width="43.4" customWidth="1"/>
    <col min="3" max="3" width="18.6" customWidth="1"/>
    <col min="4" max="4" width="37.9333333333333" customWidth="1"/>
    <col min="8" max="8" width="27.1333333333333" customWidth="1"/>
  </cols>
  <sheetData>
    <row r="1" spans="1:13">
      <c r="A1" s="12" t="s">
        <v>0</v>
      </c>
      <c r="B1" s="12" t="s">
        <v>1</v>
      </c>
      <c r="C1" s="16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</row>
    <row r="2" spans="1:13">
      <c r="A2" s="14">
        <v>5000469</v>
      </c>
      <c r="B2" s="14" t="s">
        <v>13</v>
      </c>
      <c r="C2" s="17">
        <v>4000517</v>
      </c>
      <c r="D2" t="s">
        <v>14</v>
      </c>
      <c r="E2" s="14" t="s">
        <v>15</v>
      </c>
      <c r="F2" s="14">
        <v>7</v>
      </c>
      <c r="G2" s="14">
        <v>3</v>
      </c>
      <c r="H2" s="14" t="s">
        <v>16</v>
      </c>
      <c r="I2" t="s">
        <v>17</v>
      </c>
      <c r="J2" t="s">
        <v>18</v>
      </c>
      <c r="K2" t="s">
        <v>19</v>
      </c>
      <c r="L2" s="14" t="s">
        <v>20</v>
      </c>
      <c r="M2" s="14" t="s">
        <v>20</v>
      </c>
    </row>
    <row r="3" spans="1:13">
      <c r="A3" s="14">
        <v>5000495</v>
      </c>
      <c r="B3" s="14" t="s">
        <v>21</v>
      </c>
      <c r="C3" s="17">
        <v>4000517</v>
      </c>
      <c r="D3" t="s">
        <v>14</v>
      </c>
      <c r="E3" s="14" t="s">
        <v>15</v>
      </c>
      <c r="F3" s="14">
        <v>7</v>
      </c>
      <c r="G3" s="14">
        <v>3</v>
      </c>
      <c r="H3" s="14" t="s">
        <v>16</v>
      </c>
      <c r="I3" t="s">
        <v>17</v>
      </c>
      <c r="J3" t="s">
        <v>22</v>
      </c>
      <c r="K3" t="s">
        <v>19</v>
      </c>
      <c r="L3" s="14" t="s">
        <v>20</v>
      </c>
      <c r="M3" s="14" t="s">
        <v>20</v>
      </c>
    </row>
    <row r="4" spans="1:13">
      <c r="A4" s="14">
        <v>5000517</v>
      </c>
      <c r="B4" s="14" t="s">
        <v>23</v>
      </c>
      <c r="C4" s="17">
        <v>4081141</v>
      </c>
      <c r="D4" t="s">
        <v>24</v>
      </c>
      <c r="E4" s="14" t="s">
        <v>15</v>
      </c>
      <c r="F4" s="14">
        <v>7</v>
      </c>
      <c r="G4" s="14">
        <v>3</v>
      </c>
      <c r="H4" s="14" t="s">
        <v>16</v>
      </c>
      <c r="I4" t="s">
        <v>17</v>
      </c>
      <c r="J4" t="s">
        <v>22</v>
      </c>
      <c r="K4" t="s">
        <v>19</v>
      </c>
      <c r="L4" s="14" t="s">
        <v>20</v>
      </c>
      <c r="M4" s="14" t="s">
        <v>20</v>
      </c>
    </row>
    <row r="5" spans="1:13">
      <c r="A5" s="14">
        <v>5000611</v>
      </c>
      <c r="B5" s="14" t="s">
        <v>25</v>
      </c>
      <c r="C5" s="17">
        <v>4000699</v>
      </c>
      <c r="D5" t="s">
        <v>26</v>
      </c>
      <c r="E5" s="14" t="s">
        <v>15</v>
      </c>
      <c r="F5" s="14">
        <v>4</v>
      </c>
      <c r="G5" s="14">
        <v>3.8</v>
      </c>
      <c r="H5" s="14" t="s">
        <v>27</v>
      </c>
      <c r="I5" t="s">
        <v>28</v>
      </c>
      <c r="J5" t="s">
        <v>29</v>
      </c>
      <c r="K5" t="s">
        <v>30</v>
      </c>
      <c r="L5" s="14" t="s">
        <v>20</v>
      </c>
      <c r="M5" s="14" t="s">
        <v>20</v>
      </c>
    </row>
    <row r="6" spans="1:13">
      <c r="A6" s="14">
        <v>5000613</v>
      </c>
      <c r="B6" s="14" t="s">
        <v>31</v>
      </c>
      <c r="C6" s="17">
        <v>4013466</v>
      </c>
      <c r="D6" t="s">
        <v>32</v>
      </c>
      <c r="E6" s="14" t="s">
        <v>15</v>
      </c>
      <c r="F6" s="14">
        <v>10</v>
      </c>
      <c r="G6" s="14">
        <v>3.8</v>
      </c>
      <c r="H6" s="14" t="s">
        <v>27</v>
      </c>
      <c r="I6" t="s">
        <v>28</v>
      </c>
      <c r="J6" t="s">
        <v>29</v>
      </c>
      <c r="K6" t="s">
        <v>30</v>
      </c>
      <c r="L6" s="14" t="s">
        <v>20</v>
      </c>
      <c r="M6" s="14" t="s">
        <v>20</v>
      </c>
    </row>
    <row r="7" spans="1:13">
      <c r="A7" s="14">
        <v>5000618</v>
      </c>
      <c r="B7" s="14" t="s">
        <v>33</v>
      </c>
      <c r="C7" s="17">
        <v>4000705</v>
      </c>
      <c r="D7" t="s">
        <v>34</v>
      </c>
      <c r="E7" s="14" t="s">
        <v>15</v>
      </c>
      <c r="F7" s="14">
        <v>10</v>
      </c>
      <c r="G7" s="14">
        <v>3.8</v>
      </c>
      <c r="H7" s="14" t="s">
        <v>27</v>
      </c>
      <c r="I7" t="s">
        <v>28</v>
      </c>
      <c r="J7" t="s">
        <v>29</v>
      </c>
      <c r="K7" t="s">
        <v>30</v>
      </c>
      <c r="L7" s="14" t="s">
        <v>20</v>
      </c>
      <c r="M7" s="14" t="s">
        <v>20</v>
      </c>
    </row>
    <row r="8" spans="1:13">
      <c r="A8" s="14">
        <v>5000632</v>
      </c>
      <c r="B8" s="14" t="s">
        <v>35</v>
      </c>
      <c r="C8" s="17">
        <v>4000679</v>
      </c>
      <c r="D8" t="s">
        <v>36</v>
      </c>
      <c r="E8" s="14" t="s">
        <v>15</v>
      </c>
      <c r="F8" s="14">
        <v>7</v>
      </c>
      <c r="G8" s="14">
        <v>2.5</v>
      </c>
      <c r="H8" s="14" t="s">
        <v>37</v>
      </c>
      <c r="I8" t="s">
        <v>28</v>
      </c>
      <c r="J8" t="s">
        <v>38</v>
      </c>
      <c r="K8" t="s">
        <v>39</v>
      </c>
      <c r="L8" s="14" t="s">
        <v>20</v>
      </c>
      <c r="M8" s="14" t="s">
        <v>20</v>
      </c>
    </row>
    <row r="9" spans="1:13">
      <c r="A9" s="14">
        <v>5000633</v>
      </c>
      <c r="B9" s="14" t="s">
        <v>40</v>
      </c>
      <c r="C9" s="17">
        <v>4000679</v>
      </c>
      <c r="D9" t="s">
        <v>36</v>
      </c>
      <c r="E9" s="14" t="s">
        <v>15</v>
      </c>
      <c r="F9" s="14">
        <v>7</v>
      </c>
      <c r="G9" s="14">
        <v>2.5</v>
      </c>
      <c r="H9" s="14" t="s">
        <v>37</v>
      </c>
      <c r="I9" t="s">
        <v>28</v>
      </c>
      <c r="J9" t="s">
        <v>38</v>
      </c>
      <c r="K9" t="s">
        <v>39</v>
      </c>
      <c r="L9" s="14" t="s">
        <v>20</v>
      </c>
      <c r="M9" s="14" t="s">
        <v>20</v>
      </c>
    </row>
    <row r="10" spans="1:13">
      <c r="A10" s="14">
        <v>5000647</v>
      </c>
      <c r="B10" s="14" t="s">
        <v>41</v>
      </c>
      <c r="C10" s="17">
        <v>4000693</v>
      </c>
      <c r="D10" t="s">
        <v>42</v>
      </c>
      <c r="E10" s="14" t="s">
        <v>15</v>
      </c>
      <c r="F10" s="14">
        <v>3</v>
      </c>
      <c r="G10" s="14">
        <v>3.8</v>
      </c>
      <c r="H10" s="14" t="s">
        <v>27</v>
      </c>
      <c r="I10" t="s">
        <v>28</v>
      </c>
      <c r="J10" t="s">
        <v>38</v>
      </c>
      <c r="K10" t="s">
        <v>43</v>
      </c>
      <c r="L10" s="14" t="s">
        <v>20</v>
      </c>
      <c r="M10" s="14" t="s">
        <v>20</v>
      </c>
    </row>
    <row r="11" spans="1:13">
      <c r="A11" s="14">
        <v>5000652</v>
      </c>
      <c r="B11" s="14" t="s">
        <v>44</v>
      </c>
      <c r="C11" s="17">
        <v>4031438</v>
      </c>
      <c r="D11" t="s">
        <v>45</v>
      </c>
      <c r="E11" s="14" t="s">
        <v>15</v>
      </c>
      <c r="F11" s="14">
        <v>7</v>
      </c>
      <c r="G11" s="14">
        <v>3.8</v>
      </c>
      <c r="H11" s="14" t="s">
        <v>27</v>
      </c>
      <c r="I11" t="s">
        <v>28</v>
      </c>
      <c r="J11" t="s">
        <v>46</v>
      </c>
      <c r="K11" t="s">
        <v>43</v>
      </c>
      <c r="L11" s="14" t="s">
        <v>20</v>
      </c>
      <c r="M11" s="14" t="s">
        <v>20</v>
      </c>
    </row>
    <row r="12" spans="1:13">
      <c r="A12" s="14">
        <v>5000653</v>
      </c>
      <c r="B12" s="14" t="s">
        <v>47</v>
      </c>
      <c r="C12" s="17">
        <v>4011574</v>
      </c>
      <c r="D12" t="s">
        <v>48</v>
      </c>
      <c r="E12" s="14" t="s">
        <v>15</v>
      </c>
      <c r="F12" s="14">
        <v>7</v>
      </c>
      <c r="G12" s="14">
        <v>3.8</v>
      </c>
      <c r="H12" s="14" t="s">
        <v>27</v>
      </c>
      <c r="I12" t="s">
        <v>28</v>
      </c>
      <c r="J12" t="s">
        <v>38</v>
      </c>
      <c r="K12" t="s">
        <v>43</v>
      </c>
      <c r="L12" s="14" t="s">
        <v>20</v>
      </c>
      <c r="M12" s="14" t="s">
        <v>20</v>
      </c>
    </row>
    <row r="13" spans="1:13">
      <c r="A13" s="14">
        <v>5000656</v>
      </c>
      <c r="B13" s="14" t="s">
        <v>49</v>
      </c>
      <c r="C13" s="17">
        <v>4075653</v>
      </c>
      <c r="D13" t="s">
        <v>50</v>
      </c>
      <c r="E13" s="14" t="s">
        <v>15</v>
      </c>
      <c r="F13" s="14">
        <v>7</v>
      </c>
      <c r="G13" s="14">
        <v>3.8</v>
      </c>
      <c r="H13" s="14" t="s">
        <v>27</v>
      </c>
      <c r="I13" t="s">
        <v>28</v>
      </c>
      <c r="J13" t="s">
        <v>38</v>
      </c>
      <c r="K13" t="s">
        <v>43</v>
      </c>
      <c r="L13" s="14" t="s">
        <v>20</v>
      </c>
      <c r="M13" s="14" t="s">
        <v>20</v>
      </c>
    </row>
    <row r="14" spans="1:13">
      <c r="A14" s="14">
        <v>5000659</v>
      </c>
      <c r="B14" s="14" t="s">
        <v>51</v>
      </c>
      <c r="C14" s="17">
        <v>4000723</v>
      </c>
      <c r="D14" t="s">
        <v>52</v>
      </c>
      <c r="E14" s="14" t="s">
        <v>15</v>
      </c>
      <c r="F14" s="14">
        <v>2</v>
      </c>
      <c r="G14" s="14">
        <v>3.8</v>
      </c>
      <c r="H14" s="14" t="s">
        <v>27</v>
      </c>
      <c r="I14" t="s">
        <v>28</v>
      </c>
      <c r="J14" t="s">
        <v>38</v>
      </c>
      <c r="K14" t="s">
        <v>43</v>
      </c>
      <c r="L14" s="14" t="s">
        <v>20</v>
      </c>
      <c r="M14" s="14" t="s">
        <v>20</v>
      </c>
    </row>
    <row r="15" spans="1:13">
      <c r="A15" s="14">
        <v>5001186</v>
      </c>
      <c r="B15" s="14" t="s">
        <v>53</v>
      </c>
      <c r="C15" s="17">
        <v>4000937</v>
      </c>
      <c r="D15" t="s">
        <v>54</v>
      </c>
      <c r="E15" s="14" t="s">
        <v>15</v>
      </c>
      <c r="F15" s="14">
        <v>7</v>
      </c>
      <c r="G15" s="14">
        <v>3</v>
      </c>
      <c r="H15" s="14" t="s">
        <v>16</v>
      </c>
      <c r="I15" t="s">
        <v>17</v>
      </c>
      <c r="J15" t="s">
        <v>18</v>
      </c>
      <c r="K15" t="s">
        <v>19</v>
      </c>
      <c r="L15" s="14" t="s">
        <v>20</v>
      </c>
      <c r="M15" s="14" t="s">
        <v>20</v>
      </c>
    </row>
    <row r="16" spans="1:13">
      <c r="A16" s="14">
        <v>5013903</v>
      </c>
      <c r="B16" s="14" t="s">
        <v>55</v>
      </c>
      <c r="C16" s="17">
        <v>4011576</v>
      </c>
      <c r="D16" t="s">
        <v>56</v>
      </c>
      <c r="E16" s="14" t="s">
        <v>15</v>
      </c>
      <c r="F16" s="14">
        <v>5</v>
      </c>
      <c r="G16" s="14"/>
      <c r="H16" s="14" t="s">
        <v>57</v>
      </c>
      <c r="I16" t="s">
        <v>17</v>
      </c>
      <c r="J16" t="s">
        <v>22</v>
      </c>
      <c r="K16" t="s">
        <v>58</v>
      </c>
      <c r="L16" s="14" t="s">
        <v>20</v>
      </c>
      <c r="M16" s="14" t="s">
        <v>20</v>
      </c>
    </row>
    <row r="17" spans="1:13">
      <c r="A17" s="14">
        <v>5013904</v>
      </c>
      <c r="B17" s="14" t="s">
        <v>59</v>
      </c>
      <c r="C17" s="17">
        <v>4011576</v>
      </c>
      <c r="D17" t="s">
        <v>56</v>
      </c>
      <c r="E17" s="14" t="s">
        <v>15</v>
      </c>
      <c r="F17" s="14">
        <v>5</v>
      </c>
      <c r="G17" s="14"/>
      <c r="H17" s="14" t="s">
        <v>60</v>
      </c>
      <c r="I17" t="s">
        <v>17</v>
      </c>
      <c r="J17" t="s">
        <v>22</v>
      </c>
      <c r="K17" t="s">
        <v>58</v>
      </c>
      <c r="L17" s="14" t="s">
        <v>20</v>
      </c>
      <c r="M17" s="14" t="s">
        <v>20</v>
      </c>
    </row>
    <row r="18" spans="1:13">
      <c r="A18" s="14">
        <v>5013906</v>
      </c>
      <c r="B18" s="14" t="s">
        <v>61</v>
      </c>
      <c r="C18" s="17">
        <v>4038247</v>
      </c>
      <c r="D18" t="s">
        <v>62</v>
      </c>
      <c r="E18" s="14" t="s">
        <v>15</v>
      </c>
      <c r="F18" s="14">
        <v>7</v>
      </c>
      <c r="G18" s="14"/>
      <c r="H18" s="14" t="s">
        <v>60</v>
      </c>
      <c r="I18" t="s">
        <v>17</v>
      </c>
      <c r="J18" t="s">
        <v>63</v>
      </c>
      <c r="K18" t="s">
        <v>58</v>
      </c>
      <c r="L18" s="14" t="s">
        <v>20</v>
      </c>
      <c r="M18" s="14" t="s">
        <v>20</v>
      </c>
    </row>
    <row r="19" spans="1:13">
      <c r="A19" s="14">
        <v>5013909</v>
      </c>
      <c r="B19" s="14" t="s">
        <v>64</v>
      </c>
      <c r="C19" s="17">
        <v>4011576</v>
      </c>
      <c r="D19" t="s">
        <v>56</v>
      </c>
      <c r="E19" s="14" t="s">
        <v>15</v>
      </c>
      <c r="F19" s="14">
        <v>5</v>
      </c>
      <c r="G19" s="14">
        <v>2</v>
      </c>
      <c r="H19" s="14" t="s">
        <v>65</v>
      </c>
      <c r="I19" t="s">
        <v>17</v>
      </c>
      <c r="J19" t="s">
        <v>22</v>
      </c>
      <c r="K19" t="s">
        <v>19</v>
      </c>
      <c r="L19" s="14" t="s">
        <v>20</v>
      </c>
      <c r="M19" s="14" t="s">
        <v>20</v>
      </c>
    </row>
    <row r="20" spans="1:13">
      <c r="A20" s="14">
        <v>5016078</v>
      </c>
      <c r="B20" s="14" t="s">
        <v>66</v>
      </c>
      <c r="C20" s="17">
        <v>4034088</v>
      </c>
      <c r="D20" t="s">
        <v>67</v>
      </c>
      <c r="E20" s="14" t="s">
        <v>15</v>
      </c>
      <c r="F20" s="14">
        <v>6</v>
      </c>
      <c r="G20" s="14">
        <v>3</v>
      </c>
      <c r="H20" s="14" t="s">
        <v>68</v>
      </c>
      <c r="I20" t="s">
        <v>69</v>
      </c>
      <c r="J20" t="s">
        <v>70</v>
      </c>
      <c r="K20" t="s">
        <v>71</v>
      </c>
      <c r="L20" s="14" t="s">
        <v>20</v>
      </c>
      <c r="M20" s="14" t="s">
        <v>20</v>
      </c>
    </row>
    <row r="21" spans="1:13">
      <c r="A21" s="14">
        <v>5016103</v>
      </c>
      <c r="B21" s="14" t="s">
        <v>72</v>
      </c>
      <c r="C21" s="17">
        <v>4013465</v>
      </c>
      <c r="D21" t="s">
        <v>73</v>
      </c>
      <c r="E21" s="14" t="s">
        <v>15</v>
      </c>
      <c r="F21" s="14">
        <v>7</v>
      </c>
      <c r="G21" s="14">
        <v>3.8</v>
      </c>
      <c r="H21" s="14" t="s">
        <v>27</v>
      </c>
      <c r="I21" t="s">
        <v>28</v>
      </c>
      <c r="J21" t="s">
        <v>29</v>
      </c>
      <c r="K21" t="s">
        <v>30</v>
      </c>
      <c r="L21" s="14" t="s">
        <v>20</v>
      </c>
      <c r="M21" s="14" t="s">
        <v>20</v>
      </c>
    </row>
    <row r="22" spans="1:13">
      <c r="A22" s="14">
        <v>5016104</v>
      </c>
      <c r="B22" s="14" t="s">
        <v>74</v>
      </c>
      <c r="C22" s="17">
        <v>4013466</v>
      </c>
      <c r="D22" t="s">
        <v>32</v>
      </c>
      <c r="E22" s="14" t="s">
        <v>15</v>
      </c>
      <c r="F22" s="14">
        <v>5</v>
      </c>
      <c r="G22" s="14">
        <v>3.8</v>
      </c>
      <c r="H22" s="14" t="s">
        <v>27</v>
      </c>
      <c r="I22" t="s">
        <v>28</v>
      </c>
      <c r="J22" t="s">
        <v>29</v>
      </c>
      <c r="K22" t="s">
        <v>30</v>
      </c>
      <c r="L22" s="14" t="s">
        <v>20</v>
      </c>
      <c r="M22" s="14" t="s">
        <v>20</v>
      </c>
    </row>
    <row r="23" spans="1:13">
      <c r="A23" s="14">
        <v>5021724</v>
      </c>
      <c r="B23" s="14" t="s">
        <v>75</v>
      </c>
      <c r="C23" s="17">
        <v>4002087</v>
      </c>
      <c r="D23" t="s">
        <v>76</v>
      </c>
      <c r="E23" s="14" t="s">
        <v>15</v>
      </c>
      <c r="F23" s="14">
        <v>7</v>
      </c>
      <c r="G23" s="14">
        <v>3</v>
      </c>
      <c r="H23" s="14" t="s">
        <v>77</v>
      </c>
      <c r="I23" t="s">
        <v>28</v>
      </c>
      <c r="J23" t="s">
        <v>78</v>
      </c>
      <c r="K23" t="s">
        <v>79</v>
      </c>
      <c r="L23" s="14" t="s">
        <v>20</v>
      </c>
      <c r="M23" s="14" t="s">
        <v>20</v>
      </c>
    </row>
    <row r="24" spans="1:13">
      <c r="A24" s="14">
        <v>5022034</v>
      </c>
      <c r="B24" s="14" t="s">
        <v>80</v>
      </c>
      <c r="C24" s="17">
        <v>4067508</v>
      </c>
      <c r="D24" t="s">
        <v>81</v>
      </c>
      <c r="E24" s="14" t="s">
        <v>15</v>
      </c>
      <c r="F24" s="14">
        <v>7</v>
      </c>
      <c r="G24" s="14">
        <v>2</v>
      </c>
      <c r="H24" s="14" t="s">
        <v>65</v>
      </c>
      <c r="I24" t="s">
        <v>17</v>
      </c>
      <c r="J24" t="s">
        <v>82</v>
      </c>
      <c r="K24" t="s">
        <v>19</v>
      </c>
      <c r="L24" s="14" t="s">
        <v>20</v>
      </c>
      <c r="M24" s="14" t="s">
        <v>20</v>
      </c>
    </row>
    <row r="25" spans="1:13">
      <c r="A25" s="14">
        <v>5024958</v>
      </c>
      <c r="B25" s="14" t="s">
        <v>83</v>
      </c>
      <c r="C25" s="17">
        <v>4019043</v>
      </c>
      <c r="D25" t="s">
        <v>84</v>
      </c>
      <c r="E25" s="14" t="s">
        <v>15</v>
      </c>
      <c r="F25" s="14">
        <v>2</v>
      </c>
      <c r="G25" s="14">
        <v>3.8</v>
      </c>
      <c r="H25" s="14" t="s">
        <v>68</v>
      </c>
      <c r="I25" t="s">
        <v>69</v>
      </c>
      <c r="J25" t="s">
        <v>85</v>
      </c>
      <c r="K25" t="s">
        <v>86</v>
      </c>
      <c r="L25" s="14" t="s">
        <v>20</v>
      </c>
      <c r="M25" s="14" t="s">
        <v>20</v>
      </c>
    </row>
    <row r="26" spans="1:13">
      <c r="A26" s="14">
        <v>5024959</v>
      </c>
      <c r="B26" s="14" t="s">
        <v>87</v>
      </c>
      <c r="C26" s="17">
        <v>4001788</v>
      </c>
      <c r="D26" t="s">
        <v>88</v>
      </c>
      <c r="E26" s="14" t="s">
        <v>15</v>
      </c>
      <c r="F26" s="14">
        <v>2</v>
      </c>
      <c r="G26" s="14">
        <v>3.8</v>
      </c>
      <c r="H26" s="14" t="s">
        <v>68</v>
      </c>
      <c r="I26" t="s">
        <v>69</v>
      </c>
      <c r="J26" t="s">
        <v>85</v>
      </c>
      <c r="K26" t="s">
        <v>86</v>
      </c>
      <c r="L26" s="14" t="s">
        <v>20</v>
      </c>
      <c r="M26" s="14" t="s">
        <v>20</v>
      </c>
    </row>
    <row r="27" spans="1:13">
      <c r="A27" s="14">
        <v>5024961</v>
      </c>
      <c r="B27" s="14" t="s">
        <v>89</v>
      </c>
      <c r="C27" s="17">
        <v>4001786</v>
      </c>
      <c r="D27" t="s">
        <v>90</v>
      </c>
      <c r="E27" s="14" t="s">
        <v>15</v>
      </c>
      <c r="F27" s="14">
        <v>5</v>
      </c>
      <c r="G27" s="14">
        <v>3.8</v>
      </c>
      <c r="H27" s="14" t="s">
        <v>68</v>
      </c>
      <c r="I27" t="s">
        <v>69</v>
      </c>
      <c r="J27" t="s">
        <v>85</v>
      </c>
      <c r="K27" t="s">
        <v>91</v>
      </c>
      <c r="L27" s="14" t="s">
        <v>20</v>
      </c>
      <c r="M27" s="14" t="s">
        <v>20</v>
      </c>
    </row>
    <row r="28" spans="1:13">
      <c r="A28" s="14">
        <v>5029506</v>
      </c>
      <c r="B28" s="14" t="s">
        <v>92</v>
      </c>
      <c r="C28" s="17">
        <v>4075653</v>
      </c>
      <c r="D28" t="s">
        <v>50</v>
      </c>
      <c r="E28" s="14" t="s">
        <v>15</v>
      </c>
      <c r="F28" s="14">
        <v>4</v>
      </c>
      <c r="G28" s="14">
        <v>3.8</v>
      </c>
      <c r="H28" s="14" t="s">
        <v>27</v>
      </c>
      <c r="I28" t="s">
        <v>28</v>
      </c>
      <c r="J28" t="s">
        <v>38</v>
      </c>
      <c r="K28" t="s">
        <v>43</v>
      </c>
      <c r="L28" s="14" t="s">
        <v>20</v>
      </c>
      <c r="M28" s="14" t="s">
        <v>20</v>
      </c>
    </row>
    <row r="29" spans="1:13">
      <c r="A29" s="14">
        <v>5032125</v>
      </c>
      <c r="B29" s="14" t="s">
        <v>93</v>
      </c>
      <c r="C29" s="17">
        <v>4000937</v>
      </c>
      <c r="D29" t="s">
        <v>54</v>
      </c>
      <c r="E29" s="14" t="s">
        <v>15</v>
      </c>
      <c r="F29" s="14">
        <v>7</v>
      </c>
      <c r="G29" s="14"/>
      <c r="H29" s="14" t="s">
        <v>60</v>
      </c>
      <c r="I29" t="s">
        <v>17</v>
      </c>
      <c r="J29" t="s">
        <v>22</v>
      </c>
      <c r="K29" t="s">
        <v>58</v>
      </c>
      <c r="L29" s="14" t="s">
        <v>20</v>
      </c>
      <c r="M29" s="14" t="s">
        <v>20</v>
      </c>
    </row>
    <row r="30" spans="1:13">
      <c r="A30" s="14">
        <v>5032126</v>
      </c>
      <c r="B30" s="14" t="s">
        <v>94</v>
      </c>
      <c r="C30" s="17">
        <v>4000937</v>
      </c>
      <c r="D30" t="s">
        <v>54</v>
      </c>
      <c r="E30" s="14" t="s">
        <v>15</v>
      </c>
      <c r="F30" s="14">
        <v>7</v>
      </c>
      <c r="G30" s="14">
        <v>3</v>
      </c>
      <c r="H30" s="14" t="s">
        <v>16</v>
      </c>
      <c r="I30" t="s">
        <v>17</v>
      </c>
      <c r="J30" t="s">
        <v>22</v>
      </c>
      <c r="K30" t="s">
        <v>19</v>
      </c>
      <c r="L30" s="14" t="s">
        <v>20</v>
      </c>
      <c r="M30" s="14" t="s">
        <v>20</v>
      </c>
    </row>
    <row r="31" spans="1:13">
      <c r="A31" s="14">
        <v>5032620</v>
      </c>
      <c r="B31" s="14" t="s">
        <v>95</v>
      </c>
      <c r="C31" s="17">
        <v>4034093</v>
      </c>
      <c r="D31" t="s">
        <v>96</v>
      </c>
      <c r="E31" s="14" t="s">
        <v>15</v>
      </c>
      <c r="F31" s="14">
        <v>7</v>
      </c>
      <c r="G31" s="14">
        <v>3.8</v>
      </c>
      <c r="H31" s="14" t="s">
        <v>68</v>
      </c>
      <c r="I31" t="s">
        <v>69</v>
      </c>
      <c r="J31" t="s">
        <v>97</v>
      </c>
      <c r="K31" t="s">
        <v>98</v>
      </c>
      <c r="L31" s="14" t="s">
        <v>20</v>
      </c>
      <c r="M31" s="14" t="s">
        <v>20</v>
      </c>
    </row>
    <row r="32" spans="1:13">
      <c r="A32" s="14">
        <v>5032621</v>
      </c>
      <c r="B32" s="14" t="s">
        <v>99</v>
      </c>
      <c r="C32" s="17">
        <v>4034094</v>
      </c>
      <c r="D32" t="s">
        <v>100</v>
      </c>
      <c r="E32" s="14" t="s">
        <v>15</v>
      </c>
      <c r="F32" s="14">
        <v>7</v>
      </c>
      <c r="G32" s="14">
        <v>3.8</v>
      </c>
      <c r="H32" s="14" t="s">
        <v>68</v>
      </c>
      <c r="I32" t="s">
        <v>69</v>
      </c>
      <c r="J32" t="s">
        <v>97</v>
      </c>
      <c r="K32" t="s">
        <v>101</v>
      </c>
      <c r="L32" s="14" t="s">
        <v>20</v>
      </c>
      <c r="M32" s="14" t="s">
        <v>20</v>
      </c>
    </row>
    <row r="33" spans="1:13">
      <c r="A33" s="14">
        <v>5036676</v>
      </c>
      <c r="B33" s="14" t="s">
        <v>102</v>
      </c>
      <c r="C33" s="17">
        <v>4003819</v>
      </c>
      <c r="D33" t="s">
        <v>103</v>
      </c>
      <c r="E33" s="14" t="s">
        <v>104</v>
      </c>
      <c r="F33" s="14">
        <v>5</v>
      </c>
      <c r="G33" s="14">
        <v>3</v>
      </c>
      <c r="H33" s="14" t="s">
        <v>105</v>
      </c>
      <c r="I33" t="s">
        <v>69</v>
      </c>
      <c r="J33" t="s">
        <v>70</v>
      </c>
      <c r="K33" t="s">
        <v>71</v>
      </c>
      <c r="L33" s="14" t="s">
        <v>20</v>
      </c>
      <c r="M33" s="14" t="s">
        <v>20</v>
      </c>
    </row>
    <row r="34" spans="1:13">
      <c r="A34" s="14">
        <v>5036677</v>
      </c>
      <c r="B34" s="14" t="s">
        <v>106</v>
      </c>
      <c r="C34" s="17">
        <v>4072009</v>
      </c>
      <c r="D34" t="s">
        <v>107</v>
      </c>
      <c r="E34" s="14" t="s">
        <v>104</v>
      </c>
      <c r="F34" s="14">
        <v>5</v>
      </c>
      <c r="G34" s="14">
        <v>3.8</v>
      </c>
      <c r="H34" s="14" t="s">
        <v>108</v>
      </c>
      <c r="I34" t="s">
        <v>69</v>
      </c>
      <c r="J34" t="s">
        <v>85</v>
      </c>
      <c r="K34" t="s">
        <v>86</v>
      </c>
      <c r="L34" s="14" t="s">
        <v>20</v>
      </c>
      <c r="M34" s="14" t="s">
        <v>20</v>
      </c>
    </row>
    <row r="35" spans="1:13">
      <c r="A35" s="14">
        <v>5037904</v>
      </c>
      <c r="B35" s="14" t="s">
        <v>109</v>
      </c>
      <c r="C35" s="17">
        <v>4030902</v>
      </c>
      <c r="D35" t="s">
        <v>110</v>
      </c>
      <c r="E35" s="14" t="s">
        <v>15</v>
      </c>
      <c r="F35" s="14">
        <v>4</v>
      </c>
      <c r="G35" s="14">
        <v>3.8</v>
      </c>
      <c r="H35" s="14" t="s">
        <v>27</v>
      </c>
      <c r="I35" t="s">
        <v>28</v>
      </c>
      <c r="J35" t="s">
        <v>29</v>
      </c>
      <c r="K35" t="s">
        <v>30</v>
      </c>
      <c r="L35" s="14" t="s">
        <v>20</v>
      </c>
      <c r="M35" s="14" t="s">
        <v>20</v>
      </c>
    </row>
    <row r="36" spans="1:13">
      <c r="A36" s="14">
        <v>5040676</v>
      </c>
      <c r="B36" s="14" t="s">
        <v>111</v>
      </c>
      <c r="C36" s="17">
        <v>4027844</v>
      </c>
      <c r="D36" t="s">
        <v>112</v>
      </c>
      <c r="E36" s="14" t="s">
        <v>15</v>
      </c>
      <c r="F36" s="14">
        <v>7</v>
      </c>
      <c r="G36" s="14">
        <v>3.8</v>
      </c>
      <c r="H36" s="14" t="s">
        <v>108</v>
      </c>
      <c r="I36" t="s">
        <v>69</v>
      </c>
      <c r="J36" t="s">
        <v>97</v>
      </c>
      <c r="K36" t="s">
        <v>113</v>
      </c>
      <c r="L36" s="14" t="s">
        <v>20</v>
      </c>
      <c r="M36" s="14" t="s">
        <v>20</v>
      </c>
    </row>
    <row r="37" spans="1:13">
      <c r="A37" s="14">
        <v>5041384</v>
      </c>
      <c r="B37" s="14" t="s">
        <v>114</v>
      </c>
      <c r="C37" s="17">
        <v>4019043</v>
      </c>
      <c r="D37" t="s">
        <v>84</v>
      </c>
      <c r="E37" s="14" t="s">
        <v>15</v>
      </c>
      <c r="F37" s="14">
        <v>4</v>
      </c>
      <c r="G37" s="14">
        <v>3.5</v>
      </c>
      <c r="H37" s="14" t="s">
        <v>68</v>
      </c>
      <c r="I37" t="s">
        <v>69</v>
      </c>
      <c r="J37" t="s">
        <v>97</v>
      </c>
      <c r="K37" t="s">
        <v>115</v>
      </c>
      <c r="L37" s="14" t="s">
        <v>20</v>
      </c>
      <c r="M37" s="14" t="s">
        <v>20</v>
      </c>
    </row>
    <row r="38" spans="1:13">
      <c r="A38" s="14">
        <v>5041385</v>
      </c>
      <c r="B38" s="14" t="s">
        <v>116</v>
      </c>
      <c r="C38" s="17">
        <v>4034093</v>
      </c>
      <c r="D38" t="s">
        <v>96</v>
      </c>
      <c r="E38" s="14" t="s">
        <v>15</v>
      </c>
      <c r="F38" s="14">
        <v>7</v>
      </c>
      <c r="G38" s="14">
        <v>3.5</v>
      </c>
      <c r="H38" s="14" t="s">
        <v>68</v>
      </c>
      <c r="I38" t="s">
        <v>69</v>
      </c>
      <c r="J38" t="s">
        <v>97</v>
      </c>
      <c r="K38" t="s">
        <v>98</v>
      </c>
      <c r="L38" s="14" t="s">
        <v>20</v>
      </c>
      <c r="M38" s="14" t="s">
        <v>20</v>
      </c>
    </row>
    <row r="39" spans="1:13">
      <c r="A39" s="14">
        <v>5041386</v>
      </c>
      <c r="B39" s="14" t="s">
        <v>117</v>
      </c>
      <c r="C39" s="17">
        <v>4034094</v>
      </c>
      <c r="D39" t="s">
        <v>100</v>
      </c>
      <c r="E39" s="14" t="s">
        <v>15</v>
      </c>
      <c r="F39" s="14">
        <v>7</v>
      </c>
      <c r="G39" s="14">
        <v>3.5</v>
      </c>
      <c r="H39" s="14" t="s">
        <v>68</v>
      </c>
      <c r="I39" t="s">
        <v>69</v>
      </c>
      <c r="J39" t="s">
        <v>97</v>
      </c>
      <c r="K39" t="s">
        <v>101</v>
      </c>
      <c r="L39" s="14" t="s">
        <v>20</v>
      </c>
      <c r="M39" s="14" t="s">
        <v>20</v>
      </c>
    </row>
    <row r="40" spans="1:13">
      <c r="A40" s="14">
        <v>5042789</v>
      </c>
      <c r="B40" s="14" t="s">
        <v>118</v>
      </c>
      <c r="C40" s="17">
        <v>4038956</v>
      </c>
      <c r="D40" t="s">
        <v>119</v>
      </c>
      <c r="E40" s="14" t="s">
        <v>15</v>
      </c>
      <c r="F40" s="14">
        <v>10</v>
      </c>
      <c r="G40" s="14">
        <v>3.8</v>
      </c>
      <c r="H40" s="14" t="s">
        <v>27</v>
      </c>
      <c r="I40" t="s">
        <v>28</v>
      </c>
      <c r="J40" t="s">
        <v>29</v>
      </c>
      <c r="K40" t="s">
        <v>30</v>
      </c>
      <c r="L40" s="14" t="s">
        <v>20</v>
      </c>
      <c r="M40" s="14" t="s">
        <v>20</v>
      </c>
    </row>
    <row r="41" spans="1:13">
      <c r="A41" s="14">
        <v>5043653</v>
      </c>
      <c r="B41" s="14" t="s">
        <v>120</v>
      </c>
      <c r="C41" s="17">
        <v>4034088</v>
      </c>
      <c r="D41" t="s">
        <v>67</v>
      </c>
      <c r="E41" s="14" t="s">
        <v>15</v>
      </c>
      <c r="F41" s="14">
        <v>6</v>
      </c>
      <c r="G41" s="14">
        <v>3.5</v>
      </c>
      <c r="H41" s="14" t="s">
        <v>121</v>
      </c>
      <c r="I41" t="s">
        <v>69</v>
      </c>
      <c r="J41" t="s">
        <v>70</v>
      </c>
      <c r="K41" t="s">
        <v>71</v>
      </c>
      <c r="L41" s="14" t="s">
        <v>20</v>
      </c>
      <c r="M41" s="14" t="s">
        <v>20</v>
      </c>
    </row>
    <row r="42" spans="1:13">
      <c r="A42" s="14">
        <v>5043654</v>
      </c>
      <c r="B42" s="14" t="s">
        <v>122</v>
      </c>
      <c r="C42" s="17">
        <v>4019043</v>
      </c>
      <c r="D42" t="s">
        <v>84</v>
      </c>
      <c r="E42" s="14" t="s">
        <v>15</v>
      </c>
      <c r="F42" s="14">
        <v>2</v>
      </c>
      <c r="G42" s="14">
        <v>3.5</v>
      </c>
      <c r="H42" s="14" t="s">
        <v>68</v>
      </c>
      <c r="I42" t="s">
        <v>69</v>
      </c>
      <c r="J42" t="s">
        <v>85</v>
      </c>
      <c r="K42" t="s">
        <v>86</v>
      </c>
      <c r="L42" s="14" t="s">
        <v>20</v>
      </c>
      <c r="M42" s="14" t="s">
        <v>20</v>
      </c>
    </row>
    <row r="43" spans="1:13">
      <c r="A43" s="14">
        <v>5044594</v>
      </c>
      <c r="B43" s="14" t="s">
        <v>123</v>
      </c>
      <c r="C43" s="17">
        <v>4000517</v>
      </c>
      <c r="D43" t="s">
        <v>14</v>
      </c>
      <c r="E43" s="14" t="s">
        <v>15</v>
      </c>
      <c r="F43" s="14">
        <v>7</v>
      </c>
      <c r="G43" s="14">
        <v>3</v>
      </c>
      <c r="H43" s="14" t="s">
        <v>16</v>
      </c>
      <c r="I43" t="s">
        <v>17</v>
      </c>
      <c r="J43" t="s">
        <v>18</v>
      </c>
      <c r="K43" t="s">
        <v>19</v>
      </c>
      <c r="L43" s="14" t="s">
        <v>20</v>
      </c>
      <c r="M43" s="14" t="s">
        <v>20</v>
      </c>
    </row>
    <row r="44" spans="1:13">
      <c r="A44" s="14">
        <v>5044597</v>
      </c>
      <c r="B44" s="14" t="s">
        <v>124</v>
      </c>
      <c r="C44" s="17">
        <v>4000517</v>
      </c>
      <c r="D44" t="s">
        <v>14</v>
      </c>
      <c r="E44" s="14" t="s">
        <v>15</v>
      </c>
      <c r="F44" s="14">
        <v>7</v>
      </c>
      <c r="G44" s="14">
        <v>3</v>
      </c>
      <c r="H44" s="14" t="s">
        <v>16</v>
      </c>
      <c r="I44" t="s">
        <v>17</v>
      </c>
      <c r="J44" t="s">
        <v>63</v>
      </c>
      <c r="K44" t="s">
        <v>19</v>
      </c>
      <c r="L44" s="14" t="s">
        <v>20</v>
      </c>
      <c r="M44" s="14" t="s">
        <v>20</v>
      </c>
    </row>
    <row r="45" spans="1:13">
      <c r="A45" s="14">
        <v>5044599</v>
      </c>
      <c r="B45" s="14" t="s">
        <v>125</v>
      </c>
      <c r="C45" s="17">
        <v>4036192</v>
      </c>
      <c r="D45" t="s">
        <v>126</v>
      </c>
      <c r="E45" s="14" t="s">
        <v>15</v>
      </c>
      <c r="F45" s="14">
        <v>7</v>
      </c>
      <c r="G45" s="14">
        <v>3</v>
      </c>
      <c r="H45" s="14" t="s">
        <v>16</v>
      </c>
      <c r="I45" t="s">
        <v>17</v>
      </c>
      <c r="J45" t="s">
        <v>63</v>
      </c>
      <c r="K45" t="s">
        <v>19</v>
      </c>
      <c r="L45" s="14" t="s">
        <v>20</v>
      </c>
      <c r="M45" s="14" t="s">
        <v>20</v>
      </c>
    </row>
    <row r="46" spans="1:13">
      <c r="A46" s="14">
        <v>5046757</v>
      </c>
      <c r="B46" s="14" t="s">
        <v>127</v>
      </c>
      <c r="C46" s="17">
        <v>4036715</v>
      </c>
      <c r="D46" t="s">
        <v>128</v>
      </c>
      <c r="E46" s="14" t="s">
        <v>104</v>
      </c>
      <c r="F46" s="14">
        <v>5</v>
      </c>
      <c r="G46" s="14">
        <v>3.5</v>
      </c>
      <c r="H46" s="14" t="s">
        <v>108</v>
      </c>
      <c r="I46" t="s">
        <v>69</v>
      </c>
      <c r="J46" t="s">
        <v>85</v>
      </c>
      <c r="K46" t="s">
        <v>86</v>
      </c>
      <c r="L46" s="14" t="s">
        <v>20</v>
      </c>
      <c r="M46" s="14" t="s">
        <v>20</v>
      </c>
    </row>
    <row r="47" spans="1:13">
      <c r="A47" s="14">
        <v>5047563</v>
      </c>
      <c r="B47" s="14" t="s">
        <v>129</v>
      </c>
      <c r="C47" s="17">
        <v>4001786</v>
      </c>
      <c r="D47" t="s">
        <v>90</v>
      </c>
      <c r="E47" s="14" t="s">
        <v>15</v>
      </c>
      <c r="F47" s="14">
        <v>5</v>
      </c>
      <c r="G47" s="14">
        <v>3.8</v>
      </c>
      <c r="H47" s="14" t="s">
        <v>68</v>
      </c>
      <c r="I47" t="s">
        <v>69</v>
      </c>
      <c r="J47" t="s">
        <v>85</v>
      </c>
      <c r="K47" t="s">
        <v>91</v>
      </c>
      <c r="L47" s="14" t="s">
        <v>20</v>
      </c>
      <c r="M47" s="14" t="s">
        <v>20</v>
      </c>
    </row>
    <row r="48" spans="1:13">
      <c r="A48" s="14">
        <v>5050206</v>
      </c>
      <c r="B48" s="14" t="s">
        <v>130</v>
      </c>
      <c r="C48" s="17">
        <v>4000699</v>
      </c>
      <c r="D48" t="s">
        <v>26</v>
      </c>
      <c r="E48" s="14" t="s">
        <v>15</v>
      </c>
      <c r="F48" s="14">
        <v>4</v>
      </c>
      <c r="G48" s="14">
        <v>3.8</v>
      </c>
      <c r="H48" s="14" t="s">
        <v>27</v>
      </c>
      <c r="I48" t="s">
        <v>28</v>
      </c>
      <c r="J48" t="s">
        <v>29</v>
      </c>
      <c r="K48" t="s">
        <v>30</v>
      </c>
      <c r="L48" s="14" t="s">
        <v>20</v>
      </c>
      <c r="M48" s="14" t="s">
        <v>20</v>
      </c>
    </row>
    <row r="49" spans="1:13">
      <c r="A49" s="14">
        <v>5052936</v>
      </c>
      <c r="B49" s="14" t="s">
        <v>131</v>
      </c>
      <c r="C49" s="17">
        <v>4034092</v>
      </c>
      <c r="D49" t="s">
        <v>132</v>
      </c>
      <c r="E49" s="14" t="s">
        <v>104</v>
      </c>
      <c r="F49" s="14">
        <v>5</v>
      </c>
      <c r="G49" s="14">
        <v>3.5</v>
      </c>
      <c r="H49" s="14" t="s">
        <v>105</v>
      </c>
      <c r="I49" t="s">
        <v>69</v>
      </c>
      <c r="J49" t="s">
        <v>97</v>
      </c>
      <c r="K49" t="s">
        <v>115</v>
      </c>
      <c r="L49" s="14" t="s">
        <v>20</v>
      </c>
      <c r="M49" s="14" t="s">
        <v>20</v>
      </c>
    </row>
    <row r="50" spans="1:13">
      <c r="A50" s="14">
        <v>5053400</v>
      </c>
      <c r="B50" s="14" t="s">
        <v>133</v>
      </c>
      <c r="C50" s="17">
        <v>4001736</v>
      </c>
      <c r="D50" t="s">
        <v>134</v>
      </c>
      <c r="E50" s="14" t="s">
        <v>104</v>
      </c>
      <c r="F50" s="14">
        <v>5</v>
      </c>
      <c r="G50" s="14">
        <v>2.5</v>
      </c>
      <c r="H50" s="14" t="s">
        <v>105</v>
      </c>
      <c r="I50" t="s">
        <v>69</v>
      </c>
      <c r="J50" t="s">
        <v>70</v>
      </c>
      <c r="K50" t="s">
        <v>135</v>
      </c>
      <c r="L50" s="14" t="s">
        <v>20</v>
      </c>
      <c r="M50" s="14" t="s">
        <v>20</v>
      </c>
    </row>
    <row r="51" spans="1:13">
      <c r="A51" s="14">
        <v>5053616</v>
      </c>
      <c r="B51" s="14" t="s">
        <v>136</v>
      </c>
      <c r="C51" s="17">
        <v>4033506</v>
      </c>
      <c r="D51" t="s">
        <v>137</v>
      </c>
      <c r="E51" s="14" t="s">
        <v>104</v>
      </c>
      <c r="F51" s="14">
        <v>5</v>
      </c>
      <c r="G51" s="14">
        <v>2.5</v>
      </c>
      <c r="H51" s="14" t="s">
        <v>105</v>
      </c>
      <c r="I51" t="s">
        <v>69</v>
      </c>
      <c r="J51" t="s">
        <v>70</v>
      </c>
      <c r="K51" t="s">
        <v>135</v>
      </c>
      <c r="L51" s="14" t="s">
        <v>20</v>
      </c>
      <c r="M51" s="14" t="s">
        <v>20</v>
      </c>
    </row>
    <row r="52" spans="1:13">
      <c r="A52" s="14">
        <v>5057827</v>
      </c>
      <c r="B52" s="14" t="s">
        <v>138</v>
      </c>
      <c r="C52" s="17">
        <v>4000517</v>
      </c>
      <c r="D52" t="s">
        <v>14</v>
      </c>
      <c r="E52" s="14" t="s">
        <v>15</v>
      </c>
      <c r="F52" s="14">
        <v>7</v>
      </c>
      <c r="G52" s="14">
        <v>3</v>
      </c>
      <c r="H52" s="14" t="s">
        <v>16</v>
      </c>
      <c r="I52" t="s">
        <v>17</v>
      </c>
      <c r="J52" t="s">
        <v>63</v>
      </c>
      <c r="K52" t="s">
        <v>19</v>
      </c>
      <c r="L52" s="14" t="s">
        <v>20</v>
      </c>
      <c r="M52" s="14" t="s">
        <v>20</v>
      </c>
    </row>
    <row r="53" spans="1:13">
      <c r="A53" s="14">
        <v>5058522</v>
      </c>
      <c r="B53" s="14" t="s">
        <v>139</v>
      </c>
      <c r="C53" s="17">
        <v>4043970</v>
      </c>
      <c r="D53" t="s">
        <v>140</v>
      </c>
      <c r="E53" s="14" t="s">
        <v>104</v>
      </c>
      <c r="F53" s="14">
        <v>4</v>
      </c>
      <c r="G53" s="14">
        <v>3.5</v>
      </c>
      <c r="H53" s="14" t="s">
        <v>105</v>
      </c>
      <c r="I53" t="s">
        <v>69</v>
      </c>
      <c r="J53" t="s">
        <v>97</v>
      </c>
      <c r="K53" t="s">
        <v>101</v>
      </c>
      <c r="L53" s="14" t="s">
        <v>20</v>
      </c>
      <c r="M53" s="14" t="s">
        <v>20</v>
      </c>
    </row>
    <row r="54" spans="1:13">
      <c r="A54" s="14">
        <v>5058523</v>
      </c>
      <c r="B54" s="14" t="s">
        <v>141</v>
      </c>
      <c r="C54" s="17">
        <v>4043969</v>
      </c>
      <c r="D54" t="s">
        <v>142</v>
      </c>
      <c r="E54" s="14" t="s">
        <v>104</v>
      </c>
      <c r="F54" s="14">
        <v>4</v>
      </c>
      <c r="G54" s="14">
        <v>3.5</v>
      </c>
      <c r="H54" s="14" t="s">
        <v>105</v>
      </c>
      <c r="I54" t="s">
        <v>69</v>
      </c>
      <c r="J54" t="s">
        <v>97</v>
      </c>
      <c r="K54" t="s">
        <v>98</v>
      </c>
      <c r="L54" s="14" t="s">
        <v>20</v>
      </c>
      <c r="M54" s="14" t="s">
        <v>20</v>
      </c>
    </row>
    <row r="55" spans="1:13">
      <c r="A55" s="14">
        <v>5059154</v>
      </c>
      <c r="B55" s="14" t="s">
        <v>143</v>
      </c>
      <c r="C55" s="17">
        <v>4044362</v>
      </c>
      <c r="D55" t="s">
        <v>144</v>
      </c>
      <c r="E55" s="14" t="s">
        <v>104</v>
      </c>
      <c r="F55" s="14">
        <v>4</v>
      </c>
      <c r="G55" s="14">
        <v>3.5</v>
      </c>
      <c r="H55" s="14" t="s">
        <v>108</v>
      </c>
      <c r="I55" t="s">
        <v>69</v>
      </c>
      <c r="J55" t="s">
        <v>97</v>
      </c>
      <c r="K55" t="s">
        <v>115</v>
      </c>
      <c r="L55" s="14" t="s">
        <v>20</v>
      </c>
      <c r="M55" s="14" t="s">
        <v>20</v>
      </c>
    </row>
    <row r="56" spans="1:13">
      <c r="A56" s="14">
        <v>5064280</v>
      </c>
      <c r="B56" s="14" t="s">
        <v>145</v>
      </c>
      <c r="C56" s="17">
        <v>4047477</v>
      </c>
      <c r="D56" t="s">
        <v>146</v>
      </c>
      <c r="E56" s="14" t="s">
        <v>104</v>
      </c>
      <c r="F56" s="14">
        <v>4</v>
      </c>
      <c r="G56" s="14">
        <v>3.8</v>
      </c>
      <c r="H56" s="14" t="s">
        <v>108</v>
      </c>
      <c r="I56" t="s">
        <v>69</v>
      </c>
      <c r="J56" t="s">
        <v>97</v>
      </c>
      <c r="K56" t="s">
        <v>147</v>
      </c>
      <c r="L56" s="14" t="s">
        <v>20</v>
      </c>
      <c r="M56" s="14" t="s">
        <v>20</v>
      </c>
    </row>
    <row r="57" spans="1:13">
      <c r="A57" s="14">
        <v>5064557</v>
      </c>
      <c r="B57" s="14" t="s">
        <v>148</v>
      </c>
      <c r="C57" s="17">
        <v>4047747</v>
      </c>
      <c r="D57" t="s">
        <v>149</v>
      </c>
      <c r="E57" s="14" t="s">
        <v>15</v>
      </c>
      <c r="F57" s="14">
        <v>4</v>
      </c>
      <c r="G57" s="14">
        <v>3.8</v>
      </c>
      <c r="H57" s="14" t="s">
        <v>68</v>
      </c>
      <c r="I57" t="s">
        <v>69</v>
      </c>
      <c r="J57" t="s">
        <v>85</v>
      </c>
      <c r="K57" t="s">
        <v>86</v>
      </c>
      <c r="L57" s="14" t="s">
        <v>20</v>
      </c>
      <c r="M57" s="14" t="s">
        <v>20</v>
      </c>
    </row>
    <row r="58" spans="1:13">
      <c r="A58" s="14">
        <v>5075019</v>
      </c>
      <c r="B58" s="14" t="s">
        <v>150</v>
      </c>
      <c r="C58" s="17">
        <v>4019043</v>
      </c>
      <c r="D58" t="s">
        <v>84</v>
      </c>
      <c r="E58" s="14" t="s">
        <v>15</v>
      </c>
      <c r="F58" s="14">
        <v>2</v>
      </c>
      <c r="G58" s="14">
        <v>3.8</v>
      </c>
      <c r="H58" s="14" t="s">
        <v>68</v>
      </c>
      <c r="I58" t="s">
        <v>69</v>
      </c>
      <c r="J58" t="s">
        <v>85</v>
      </c>
      <c r="K58" t="s">
        <v>86</v>
      </c>
      <c r="L58" s="14" t="s">
        <v>20</v>
      </c>
      <c r="M58" s="14" t="s">
        <v>20</v>
      </c>
    </row>
    <row r="59" spans="1:13">
      <c r="A59" s="14">
        <v>5078546</v>
      </c>
      <c r="B59" s="14" t="s">
        <v>151</v>
      </c>
      <c r="C59" s="17">
        <v>4032571</v>
      </c>
      <c r="D59" t="s">
        <v>152</v>
      </c>
      <c r="E59" s="14" t="s">
        <v>104</v>
      </c>
      <c r="F59" s="14">
        <v>4</v>
      </c>
      <c r="G59" s="14">
        <v>3.8</v>
      </c>
      <c r="H59" s="14" t="s">
        <v>108</v>
      </c>
      <c r="I59" t="s">
        <v>69</v>
      </c>
      <c r="J59" t="s">
        <v>85</v>
      </c>
      <c r="K59" t="s">
        <v>91</v>
      </c>
      <c r="L59" s="14" t="s">
        <v>20</v>
      </c>
      <c r="M59" s="14" t="s">
        <v>20</v>
      </c>
    </row>
    <row r="60" spans="1:13">
      <c r="A60" s="14">
        <v>5078548</v>
      </c>
      <c r="B60" s="14" t="s">
        <v>153</v>
      </c>
      <c r="C60" s="17">
        <v>4000447</v>
      </c>
      <c r="D60" t="s">
        <v>154</v>
      </c>
      <c r="E60" s="14" t="s">
        <v>104</v>
      </c>
      <c r="F60" s="14">
        <v>5</v>
      </c>
      <c r="G60" s="14">
        <v>3.8</v>
      </c>
      <c r="H60" s="14" t="s">
        <v>108</v>
      </c>
      <c r="I60" t="s">
        <v>69</v>
      </c>
      <c r="J60" t="s">
        <v>85</v>
      </c>
      <c r="K60" t="s">
        <v>86</v>
      </c>
      <c r="L60" s="14" t="s">
        <v>20</v>
      </c>
      <c r="M60" s="14" t="s">
        <v>20</v>
      </c>
    </row>
    <row r="61" spans="1:13">
      <c r="A61" s="14">
        <v>5078550</v>
      </c>
      <c r="B61" s="14" t="s">
        <v>155</v>
      </c>
      <c r="C61" s="17">
        <v>4000449</v>
      </c>
      <c r="D61" t="s">
        <v>156</v>
      </c>
      <c r="E61" s="14" t="s">
        <v>104</v>
      </c>
      <c r="F61" s="14">
        <v>5</v>
      </c>
      <c r="G61" s="14">
        <v>3.8</v>
      </c>
      <c r="H61" s="14" t="s">
        <v>108</v>
      </c>
      <c r="I61" t="s">
        <v>69</v>
      </c>
      <c r="J61" t="s">
        <v>85</v>
      </c>
      <c r="K61" t="s">
        <v>157</v>
      </c>
      <c r="L61" s="14" t="s">
        <v>20</v>
      </c>
      <c r="M61" s="14" t="s">
        <v>20</v>
      </c>
    </row>
    <row r="62" spans="1:13">
      <c r="A62" s="14">
        <v>5078622</v>
      </c>
      <c r="B62" s="14" t="s">
        <v>158</v>
      </c>
      <c r="C62" s="17">
        <v>4058622</v>
      </c>
      <c r="D62" t="s">
        <v>159</v>
      </c>
      <c r="E62" s="14" t="s">
        <v>104</v>
      </c>
      <c r="F62" s="14">
        <v>5</v>
      </c>
      <c r="G62" s="14">
        <v>3.8</v>
      </c>
      <c r="H62" s="14" t="s">
        <v>108</v>
      </c>
      <c r="I62" t="s">
        <v>69</v>
      </c>
      <c r="J62" t="s">
        <v>85</v>
      </c>
      <c r="K62" t="s">
        <v>91</v>
      </c>
      <c r="L62" s="14" t="s">
        <v>20</v>
      </c>
      <c r="M62" s="14" t="s">
        <v>20</v>
      </c>
    </row>
    <row r="63" spans="1:13">
      <c r="A63" s="14">
        <v>5081744</v>
      </c>
      <c r="B63" s="14" t="s">
        <v>160</v>
      </c>
      <c r="C63" s="17">
        <v>4063131</v>
      </c>
      <c r="D63" t="s">
        <v>161</v>
      </c>
      <c r="E63" s="14" t="s">
        <v>15</v>
      </c>
      <c r="F63" s="14">
        <v>7</v>
      </c>
      <c r="G63" s="14"/>
      <c r="H63" s="14" t="s">
        <v>162</v>
      </c>
      <c r="I63" t="s">
        <v>28</v>
      </c>
      <c r="J63" t="s">
        <v>163</v>
      </c>
      <c r="K63" t="s">
        <v>164</v>
      </c>
      <c r="L63" s="14" t="s">
        <v>20</v>
      </c>
      <c r="M63" s="14" t="s">
        <v>20</v>
      </c>
    </row>
    <row r="64" spans="1:13">
      <c r="A64" s="14">
        <v>5081906</v>
      </c>
      <c r="B64" s="14" t="s">
        <v>165</v>
      </c>
      <c r="C64" s="17">
        <v>4047753</v>
      </c>
      <c r="D64" t="s">
        <v>166</v>
      </c>
      <c r="E64" s="14" t="s">
        <v>104</v>
      </c>
      <c r="F64" s="14">
        <v>4</v>
      </c>
      <c r="G64" s="14">
        <v>3.8</v>
      </c>
      <c r="H64" s="14" t="s">
        <v>108</v>
      </c>
      <c r="I64" t="s">
        <v>69</v>
      </c>
      <c r="J64" t="s">
        <v>97</v>
      </c>
      <c r="K64" t="s">
        <v>98</v>
      </c>
      <c r="L64" s="14" t="s">
        <v>20</v>
      </c>
      <c r="M64" s="14" t="s">
        <v>20</v>
      </c>
    </row>
    <row r="65" spans="1:13">
      <c r="A65" s="14">
        <v>5081907</v>
      </c>
      <c r="B65" s="14" t="s">
        <v>167</v>
      </c>
      <c r="C65" s="17">
        <v>4047754</v>
      </c>
      <c r="D65" t="s">
        <v>168</v>
      </c>
      <c r="E65" s="14" t="s">
        <v>104</v>
      </c>
      <c r="F65" s="14">
        <v>4</v>
      </c>
      <c r="G65" s="14">
        <v>3.8</v>
      </c>
      <c r="H65" s="14" t="s">
        <v>108</v>
      </c>
      <c r="I65" t="s">
        <v>69</v>
      </c>
      <c r="J65" t="s">
        <v>97</v>
      </c>
      <c r="K65" t="s">
        <v>101</v>
      </c>
      <c r="L65" s="14" t="s">
        <v>20</v>
      </c>
      <c r="M65" s="14" t="s">
        <v>20</v>
      </c>
    </row>
    <row r="66" spans="1:13">
      <c r="A66" s="14">
        <v>5082198</v>
      </c>
      <c r="B66" s="14" t="s">
        <v>169</v>
      </c>
      <c r="C66" s="17">
        <v>4009073</v>
      </c>
      <c r="D66" t="s">
        <v>170</v>
      </c>
      <c r="E66" s="14" t="s">
        <v>15</v>
      </c>
      <c r="F66" s="14">
        <v>7</v>
      </c>
      <c r="G66" s="14">
        <v>3.5</v>
      </c>
      <c r="H66" s="14" t="s">
        <v>171</v>
      </c>
      <c r="I66" t="s">
        <v>28</v>
      </c>
      <c r="J66" t="s">
        <v>163</v>
      </c>
      <c r="K66" t="s">
        <v>172</v>
      </c>
      <c r="L66" s="14" t="s">
        <v>20</v>
      </c>
      <c r="M66" s="14" t="s">
        <v>20</v>
      </c>
    </row>
    <row r="67" spans="1:13">
      <c r="A67" s="14">
        <v>5082199</v>
      </c>
      <c r="B67" s="14" t="s">
        <v>173</v>
      </c>
      <c r="C67" s="17">
        <v>4026401</v>
      </c>
      <c r="D67" t="s">
        <v>174</v>
      </c>
      <c r="E67" s="14" t="s">
        <v>15</v>
      </c>
      <c r="F67" s="14">
        <v>7</v>
      </c>
      <c r="G67" s="14">
        <v>2.5</v>
      </c>
      <c r="H67" s="14" t="s">
        <v>175</v>
      </c>
      <c r="I67" t="s">
        <v>28</v>
      </c>
      <c r="J67" t="s">
        <v>163</v>
      </c>
      <c r="K67" t="s">
        <v>176</v>
      </c>
      <c r="L67" s="14" t="s">
        <v>20</v>
      </c>
      <c r="M67" s="14" t="s">
        <v>20</v>
      </c>
    </row>
    <row r="68" spans="1:13">
      <c r="A68" s="14">
        <v>5082200</v>
      </c>
      <c r="B68" s="14" t="s">
        <v>177</v>
      </c>
      <c r="C68" s="17">
        <v>4025977</v>
      </c>
      <c r="D68" t="s">
        <v>178</v>
      </c>
      <c r="E68" s="14" t="s">
        <v>15</v>
      </c>
      <c r="F68" s="14">
        <v>7</v>
      </c>
      <c r="G68" s="14"/>
      <c r="H68" s="14" t="s">
        <v>162</v>
      </c>
      <c r="I68" t="s">
        <v>28</v>
      </c>
      <c r="J68" t="s">
        <v>163</v>
      </c>
      <c r="K68" t="s">
        <v>164</v>
      </c>
      <c r="L68" s="14" t="s">
        <v>20</v>
      </c>
      <c r="M68" s="14" t="s">
        <v>20</v>
      </c>
    </row>
    <row r="69" spans="1:13">
      <c r="A69" s="14">
        <v>5082211</v>
      </c>
      <c r="B69" s="14" t="s">
        <v>179</v>
      </c>
      <c r="C69" s="17">
        <v>4025977</v>
      </c>
      <c r="D69" t="s">
        <v>178</v>
      </c>
      <c r="E69" s="14" t="s">
        <v>15</v>
      </c>
      <c r="F69" s="14">
        <v>7</v>
      </c>
      <c r="G69" s="14"/>
      <c r="H69" s="14" t="s">
        <v>162</v>
      </c>
      <c r="I69" t="s">
        <v>28</v>
      </c>
      <c r="J69" t="s">
        <v>163</v>
      </c>
      <c r="K69" t="s">
        <v>164</v>
      </c>
      <c r="L69" s="14" t="s">
        <v>20</v>
      </c>
      <c r="M69" s="14" t="s">
        <v>20</v>
      </c>
    </row>
    <row r="70" spans="1:13">
      <c r="A70" s="14">
        <v>5082212</v>
      </c>
      <c r="B70" s="14" t="s">
        <v>180</v>
      </c>
      <c r="C70" s="17">
        <v>4000574</v>
      </c>
      <c r="D70" t="s">
        <v>181</v>
      </c>
      <c r="E70" s="14" t="s">
        <v>15</v>
      </c>
      <c r="F70" s="14">
        <v>7</v>
      </c>
      <c r="G70" s="14">
        <v>2.5</v>
      </c>
      <c r="H70" s="14" t="s">
        <v>175</v>
      </c>
      <c r="I70" t="s">
        <v>28</v>
      </c>
      <c r="J70" t="s">
        <v>163</v>
      </c>
      <c r="K70" t="s">
        <v>176</v>
      </c>
      <c r="L70" s="14" t="s">
        <v>20</v>
      </c>
      <c r="M70" s="14" t="s">
        <v>20</v>
      </c>
    </row>
    <row r="71" spans="1:13">
      <c r="A71" s="14">
        <v>5082213</v>
      </c>
      <c r="B71" s="14" t="s">
        <v>182</v>
      </c>
      <c r="C71" s="17">
        <v>4000580</v>
      </c>
      <c r="D71" t="s">
        <v>183</v>
      </c>
      <c r="E71" s="14" t="s">
        <v>15</v>
      </c>
      <c r="F71" s="14">
        <v>7</v>
      </c>
      <c r="G71" s="14">
        <v>3.5</v>
      </c>
      <c r="H71" s="14" t="s">
        <v>171</v>
      </c>
      <c r="I71" t="s">
        <v>28</v>
      </c>
      <c r="J71" t="s">
        <v>163</v>
      </c>
      <c r="K71" t="s">
        <v>172</v>
      </c>
      <c r="L71" s="14" t="s">
        <v>20</v>
      </c>
      <c r="M71" s="14" t="s">
        <v>20</v>
      </c>
    </row>
    <row r="72" spans="1:13">
      <c r="A72" s="14">
        <v>5082214</v>
      </c>
      <c r="B72" s="14" t="s">
        <v>184</v>
      </c>
      <c r="C72" s="17">
        <v>4000580</v>
      </c>
      <c r="D72" t="s">
        <v>183</v>
      </c>
      <c r="E72" s="14" t="s">
        <v>15</v>
      </c>
      <c r="F72" s="14">
        <v>7</v>
      </c>
      <c r="G72" s="14">
        <v>3.5</v>
      </c>
      <c r="H72" s="14" t="s">
        <v>171</v>
      </c>
      <c r="I72" t="s">
        <v>28</v>
      </c>
      <c r="J72" t="s">
        <v>163</v>
      </c>
      <c r="K72" t="s">
        <v>185</v>
      </c>
      <c r="L72" s="14" t="s">
        <v>20</v>
      </c>
      <c r="M72" s="14" t="s">
        <v>20</v>
      </c>
    </row>
    <row r="73" spans="1:13">
      <c r="A73" s="14">
        <v>5085669</v>
      </c>
      <c r="B73" s="14" t="s">
        <v>186</v>
      </c>
      <c r="C73" s="17">
        <v>4062896</v>
      </c>
      <c r="D73" t="s">
        <v>187</v>
      </c>
      <c r="E73" s="14" t="s">
        <v>15</v>
      </c>
      <c r="F73" s="14">
        <v>7</v>
      </c>
      <c r="G73" s="14">
        <v>3.5</v>
      </c>
      <c r="H73" s="14" t="s">
        <v>171</v>
      </c>
      <c r="I73" t="s">
        <v>28</v>
      </c>
      <c r="J73" t="s">
        <v>163</v>
      </c>
      <c r="K73" t="s">
        <v>172</v>
      </c>
      <c r="L73" s="14" t="s">
        <v>20</v>
      </c>
      <c r="M73" s="14" t="s">
        <v>20</v>
      </c>
    </row>
    <row r="74" spans="1:13">
      <c r="A74" s="14">
        <v>5086810</v>
      </c>
      <c r="B74" s="14" t="s">
        <v>188</v>
      </c>
      <c r="C74" s="17">
        <v>4000574</v>
      </c>
      <c r="D74" t="s">
        <v>181</v>
      </c>
      <c r="E74" s="14" t="s">
        <v>15</v>
      </c>
      <c r="F74" s="14">
        <v>7</v>
      </c>
      <c r="G74" s="14">
        <v>2.5</v>
      </c>
      <c r="H74" s="14" t="s">
        <v>175</v>
      </c>
      <c r="I74" t="s">
        <v>28</v>
      </c>
      <c r="J74" t="s">
        <v>163</v>
      </c>
      <c r="K74" t="s">
        <v>176</v>
      </c>
      <c r="L74" s="14" t="s">
        <v>20</v>
      </c>
      <c r="M74" s="14" t="s">
        <v>20</v>
      </c>
    </row>
    <row r="75" spans="1:13">
      <c r="A75" s="14">
        <v>5086962</v>
      </c>
      <c r="B75" s="14" t="s">
        <v>189</v>
      </c>
      <c r="C75" s="17">
        <v>4013289</v>
      </c>
      <c r="D75" t="s">
        <v>190</v>
      </c>
      <c r="E75" s="14" t="s">
        <v>15</v>
      </c>
      <c r="F75" s="14">
        <v>7</v>
      </c>
      <c r="G75" s="14">
        <v>3.5</v>
      </c>
      <c r="H75" s="14" t="s">
        <v>171</v>
      </c>
      <c r="I75" t="s">
        <v>28</v>
      </c>
      <c r="J75" t="s">
        <v>163</v>
      </c>
      <c r="K75" t="s">
        <v>172</v>
      </c>
      <c r="L75" s="14" t="s">
        <v>20</v>
      </c>
      <c r="M75" s="14" t="s">
        <v>20</v>
      </c>
    </row>
    <row r="76" spans="1:13">
      <c r="A76" s="14">
        <v>5089437</v>
      </c>
      <c r="B76" s="14" t="s">
        <v>191</v>
      </c>
      <c r="C76" s="17">
        <v>4027515</v>
      </c>
      <c r="D76" t="s">
        <v>192</v>
      </c>
      <c r="E76" s="14" t="s">
        <v>15</v>
      </c>
      <c r="F76" s="14">
        <v>7</v>
      </c>
      <c r="G76" s="14">
        <v>3</v>
      </c>
      <c r="H76" s="14" t="s">
        <v>16</v>
      </c>
      <c r="I76" t="s">
        <v>17</v>
      </c>
      <c r="J76" t="s">
        <v>22</v>
      </c>
      <c r="K76" t="s">
        <v>19</v>
      </c>
      <c r="L76" s="14" t="s">
        <v>20</v>
      </c>
      <c r="M76" s="14" t="s">
        <v>20</v>
      </c>
    </row>
    <row r="77" spans="1:13">
      <c r="A77" s="14">
        <v>5089438</v>
      </c>
      <c r="B77" s="14" t="s">
        <v>193</v>
      </c>
      <c r="C77" s="17">
        <v>4000937</v>
      </c>
      <c r="D77" t="s">
        <v>54</v>
      </c>
      <c r="E77" s="14" t="s">
        <v>15</v>
      </c>
      <c r="F77" s="14">
        <v>7</v>
      </c>
      <c r="G77" s="14"/>
      <c r="H77" s="14" t="s">
        <v>57</v>
      </c>
      <c r="I77" t="s">
        <v>17</v>
      </c>
      <c r="J77" t="s">
        <v>22</v>
      </c>
      <c r="K77" t="s">
        <v>58</v>
      </c>
      <c r="L77" s="14" t="s">
        <v>20</v>
      </c>
      <c r="M77" s="14" t="s">
        <v>20</v>
      </c>
    </row>
    <row r="78" spans="1:13">
      <c r="A78" s="14">
        <v>5089676</v>
      </c>
      <c r="B78" s="14" t="s">
        <v>194</v>
      </c>
      <c r="C78" s="17">
        <v>4065368</v>
      </c>
      <c r="D78" t="s">
        <v>195</v>
      </c>
      <c r="E78" s="14" t="s">
        <v>104</v>
      </c>
      <c r="F78" s="14">
        <v>3</v>
      </c>
      <c r="G78" s="14">
        <v>3.8</v>
      </c>
      <c r="H78" s="14" t="s">
        <v>108</v>
      </c>
      <c r="I78" t="s">
        <v>69</v>
      </c>
      <c r="J78" t="s">
        <v>85</v>
      </c>
      <c r="K78" t="s">
        <v>196</v>
      </c>
      <c r="L78" s="14" t="s">
        <v>20</v>
      </c>
      <c r="M78" s="14" t="s">
        <v>20</v>
      </c>
    </row>
    <row r="79" spans="1:13">
      <c r="A79" s="14">
        <v>5096095</v>
      </c>
      <c r="B79" s="14" t="s">
        <v>197</v>
      </c>
      <c r="C79" s="17">
        <v>4070013</v>
      </c>
      <c r="D79" t="s">
        <v>198</v>
      </c>
      <c r="E79" s="14" t="s">
        <v>104</v>
      </c>
      <c r="F79" s="14">
        <v>7</v>
      </c>
      <c r="G79" s="14">
        <v>3.8</v>
      </c>
      <c r="H79" s="14" t="s">
        <v>27</v>
      </c>
      <c r="I79" t="s">
        <v>28</v>
      </c>
      <c r="J79" t="s">
        <v>29</v>
      </c>
      <c r="K79" t="s">
        <v>30</v>
      </c>
      <c r="L79" s="14" t="s">
        <v>20</v>
      </c>
      <c r="M79" s="14" t="s">
        <v>20</v>
      </c>
    </row>
    <row r="80" spans="1:13">
      <c r="A80" s="14">
        <v>5096212</v>
      </c>
      <c r="B80" s="14" t="s">
        <v>199</v>
      </c>
      <c r="C80" s="17">
        <v>4000723</v>
      </c>
      <c r="D80" t="s">
        <v>52</v>
      </c>
      <c r="E80" s="14" t="s">
        <v>15</v>
      </c>
      <c r="F80" s="14">
        <v>4</v>
      </c>
      <c r="G80" s="14">
        <v>3.8</v>
      </c>
      <c r="H80" s="14" t="s">
        <v>27</v>
      </c>
      <c r="I80" t="s">
        <v>28</v>
      </c>
      <c r="J80" t="s">
        <v>46</v>
      </c>
      <c r="K80" t="s">
        <v>43</v>
      </c>
      <c r="L80" s="14" t="s">
        <v>20</v>
      </c>
      <c r="M80" s="14" t="s">
        <v>20</v>
      </c>
    </row>
    <row r="81" spans="1:13">
      <c r="A81" s="14">
        <v>5098659</v>
      </c>
      <c r="B81" s="14" t="s">
        <v>200</v>
      </c>
      <c r="C81" s="17">
        <v>4030902</v>
      </c>
      <c r="D81" t="s">
        <v>110</v>
      </c>
      <c r="E81" s="14" t="s">
        <v>15</v>
      </c>
      <c r="F81" s="14">
        <v>5</v>
      </c>
      <c r="G81" s="14">
        <v>3.8</v>
      </c>
      <c r="H81" s="14" t="s">
        <v>27</v>
      </c>
      <c r="I81" t="s">
        <v>28</v>
      </c>
      <c r="J81" t="s">
        <v>29</v>
      </c>
      <c r="K81" t="s">
        <v>30</v>
      </c>
      <c r="L81" s="14" t="s">
        <v>20</v>
      </c>
      <c r="M81" s="14" t="s">
        <v>20</v>
      </c>
    </row>
    <row r="82" spans="1:13">
      <c r="A82" s="14">
        <v>5100034</v>
      </c>
      <c r="B82" s="14" t="s">
        <v>201</v>
      </c>
      <c r="C82" s="17">
        <v>4072601</v>
      </c>
      <c r="D82" t="s">
        <v>202</v>
      </c>
      <c r="E82" s="14" t="s">
        <v>104</v>
      </c>
      <c r="F82" s="14">
        <v>2</v>
      </c>
      <c r="G82" s="14">
        <v>3.8</v>
      </c>
      <c r="H82" s="14" t="s">
        <v>108</v>
      </c>
      <c r="I82" t="s">
        <v>69</v>
      </c>
      <c r="J82" t="s">
        <v>85</v>
      </c>
      <c r="K82" t="s">
        <v>86</v>
      </c>
      <c r="L82" s="14" t="s">
        <v>20</v>
      </c>
      <c r="M82" s="14" t="s">
        <v>20</v>
      </c>
    </row>
    <row r="83" spans="1:13">
      <c r="A83" s="14">
        <v>5100035</v>
      </c>
      <c r="B83" s="14" t="s">
        <v>203</v>
      </c>
      <c r="C83" s="17">
        <v>4072603</v>
      </c>
      <c r="D83" t="s">
        <v>204</v>
      </c>
      <c r="E83" s="14" t="s">
        <v>104</v>
      </c>
      <c r="F83" s="14">
        <v>2</v>
      </c>
      <c r="G83" s="14">
        <v>3.8</v>
      </c>
      <c r="H83" s="14" t="s">
        <v>108</v>
      </c>
      <c r="I83" t="s">
        <v>69</v>
      </c>
      <c r="J83" t="s">
        <v>85</v>
      </c>
      <c r="K83" t="s">
        <v>157</v>
      </c>
      <c r="L83" s="14" t="s">
        <v>20</v>
      </c>
      <c r="M83" s="14" t="s">
        <v>20</v>
      </c>
    </row>
    <row r="84" spans="1:13">
      <c r="A84" s="14">
        <v>5100036</v>
      </c>
      <c r="B84" s="14" t="s">
        <v>205</v>
      </c>
      <c r="C84" s="17">
        <v>4072605</v>
      </c>
      <c r="D84" t="s">
        <v>206</v>
      </c>
      <c r="E84" s="14" t="s">
        <v>104</v>
      </c>
      <c r="F84" s="14">
        <v>4</v>
      </c>
      <c r="G84" s="14">
        <v>3.8</v>
      </c>
      <c r="H84" s="14" t="s">
        <v>108</v>
      </c>
      <c r="I84" t="s">
        <v>69</v>
      </c>
      <c r="J84" t="s">
        <v>85</v>
      </c>
      <c r="K84" t="s">
        <v>91</v>
      </c>
      <c r="L84" s="14" t="s">
        <v>20</v>
      </c>
      <c r="M84" s="14" t="s">
        <v>20</v>
      </c>
    </row>
    <row r="85" spans="1:13">
      <c r="A85" s="14">
        <v>5100037</v>
      </c>
      <c r="B85" s="14" t="s">
        <v>207</v>
      </c>
      <c r="C85" s="17">
        <v>4072617</v>
      </c>
      <c r="D85" t="s">
        <v>208</v>
      </c>
      <c r="E85" s="14" t="s">
        <v>104</v>
      </c>
      <c r="F85" s="14">
        <v>5</v>
      </c>
      <c r="G85" s="14">
        <v>3.8</v>
      </c>
      <c r="H85" s="14" t="s">
        <v>108</v>
      </c>
      <c r="I85" t="s">
        <v>69</v>
      </c>
      <c r="J85" t="s">
        <v>97</v>
      </c>
      <c r="K85" t="s">
        <v>115</v>
      </c>
      <c r="L85" s="14" t="s">
        <v>20</v>
      </c>
      <c r="M85" s="14" t="s">
        <v>20</v>
      </c>
    </row>
    <row r="86" spans="1:13">
      <c r="A86" s="14">
        <v>5100038</v>
      </c>
      <c r="B86" s="14" t="s">
        <v>209</v>
      </c>
      <c r="C86" s="17">
        <v>4072619</v>
      </c>
      <c r="D86" t="s">
        <v>210</v>
      </c>
      <c r="E86" s="14" t="s">
        <v>104</v>
      </c>
      <c r="F86" s="14">
        <v>5</v>
      </c>
      <c r="G86" s="14">
        <v>3.8</v>
      </c>
      <c r="H86" s="14" t="s">
        <v>108</v>
      </c>
      <c r="I86" t="s">
        <v>69</v>
      </c>
      <c r="J86" t="s">
        <v>97</v>
      </c>
      <c r="K86" t="s">
        <v>98</v>
      </c>
      <c r="L86" s="14" t="s">
        <v>20</v>
      </c>
      <c r="M86" s="14" t="s">
        <v>20</v>
      </c>
    </row>
    <row r="87" spans="1:13">
      <c r="A87" s="14">
        <v>5100039</v>
      </c>
      <c r="B87" s="14" t="s">
        <v>211</v>
      </c>
      <c r="C87" s="17">
        <v>4072621</v>
      </c>
      <c r="D87" t="s">
        <v>212</v>
      </c>
      <c r="E87" s="14" t="s">
        <v>104</v>
      </c>
      <c r="F87" s="14">
        <v>4</v>
      </c>
      <c r="G87" s="14">
        <v>3.8</v>
      </c>
      <c r="H87" s="14" t="s">
        <v>108</v>
      </c>
      <c r="I87" t="s">
        <v>69</v>
      </c>
      <c r="J87" t="s">
        <v>97</v>
      </c>
      <c r="K87" t="s">
        <v>98</v>
      </c>
      <c r="L87" s="14" t="s">
        <v>20</v>
      </c>
      <c r="M87" s="14" t="s">
        <v>20</v>
      </c>
    </row>
    <row r="88" spans="1:13">
      <c r="A88" s="14">
        <v>5100041</v>
      </c>
      <c r="B88" s="14" t="s">
        <v>213</v>
      </c>
      <c r="C88" s="17">
        <v>4072625</v>
      </c>
      <c r="D88" t="s">
        <v>214</v>
      </c>
      <c r="E88" s="14" t="s">
        <v>104</v>
      </c>
      <c r="F88" s="14">
        <v>4</v>
      </c>
      <c r="G88" s="14">
        <v>3.8</v>
      </c>
      <c r="H88" s="14" t="s">
        <v>108</v>
      </c>
      <c r="I88" t="s">
        <v>69</v>
      </c>
      <c r="J88" t="s">
        <v>97</v>
      </c>
      <c r="K88" t="s">
        <v>101</v>
      </c>
      <c r="L88" s="14" t="s">
        <v>20</v>
      </c>
      <c r="M88" s="14" t="s">
        <v>20</v>
      </c>
    </row>
    <row r="89" spans="1:13">
      <c r="A89" s="14">
        <v>5104063</v>
      </c>
      <c r="B89" s="14" t="s">
        <v>215</v>
      </c>
      <c r="C89" s="17">
        <v>4000612</v>
      </c>
      <c r="D89" t="s">
        <v>216</v>
      </c>
      <c r="E89" s="14" t="s">
        <v>15</v>
      </c>
      <c r="F89" s="14">
        <v>7</v>
      </c>
      <c r="G89" s="14">
        <v>2.5</v>
      </c>
      <c r="H89" s="14" t="s">
        <v>175</v>
      </c>
      <c r="I89" t="s">
        <v>28</v>
      </c>
      <c r="J89" t="s">
        <v>163</v>
      </c>
      <c r="K89" t="s">
        <v>185</v>
      </c>
      <c r="L89" s="14" t="s">
        <v>20</v>
      </c>
      <c r="M89" s="14" t="s">
        <v>20</v>
      </c>
    </row>
    <row r="90" spans="1:13">
      <c r="A90" s="14">
        <v>5107973</v>
      </c>
      <c r="B90" s="14" t="s">
        <v>217</v>
      </c>
      <c r="C90" s="17">
        <v>4028600</v>
      </c>
      <c r="D90" t="s">
        <v>218</v>
      </c>
      <c r="E90" s="14" t="s">
        <v>15</v>
      </c>
      <c r="F90" s="14">
        <v>4</v>
      </c>
      <c r="G90" s="14">
        <v>3.8</v>
      </c>
      <c r="H90" s="14" t="s">
        <v>68</v>
      </c>
      <c r="I90" t="s">
        <v>69</v>
      </c>
      <c r="J90" t="s">
        <v>85</v>
      </c>
      <c r="K90" t="s">
        <v>196</v>
      </c>
      <c r="L90" s="14" t="s">
        <v>20</v>
      </c>
      <c r="M90" s="14" t="s">
        <v>20</v>
      </c>
    </row>
    <row r="91" spans="1:13">
      <c r="A91" s="14">
        <v>5110174</v>
      </c>
      <c r="B91" s="14" t="s">
        <v>219</v>
      </c>
      <c r="C91" s="17">
        <v>4081141</v>
      </c>
      <c r="D91" t="s">
        <v>24</v>
      </c>
      <c r="E91" s="14" t="s">
        <v>15</v>
      </c>
      <c r="F91" s="14">
        <v>7</v>
      </c>
      <c r="G91" s="14"/>
      <c r="H91" s="14" t="s">
        <v>60</v>
      </c>
      <c r="I91" t="s">
        <v>17</v>
      </c>
      <c r="J91" t="s">
        <v>22</v>
      </c>
      <c r="K91" t="s">
        <v>58</v>
      </c>
      <c r="L91" s="14" t="s">
        <v>20</v>
      </c>
      <c r="M91" s="14" t="s">
        <v>20</v>
      </c>
    </row>
    <row r="92" spans="1:13">
      <c r="A92" s="14">
        <v>5110175</v>
      </c>
      <c r="B92" s="14" t="s">
        <v>220</v>
      </c>
      <c r="C92" s="17">
        <v>4081141</v>
      </c>
      <c r="D92" t="s">
        <v>24</v>
      </c>
      <c r="E92" s="14" t="s">
        <v>15</v>
      </c>
      <c r="F92" s="14">
        <v>7</v>
      </c>
      <c r="G92" s="14"/>
      <c r="H92" s="14" t="s">
        <v>60</v>
      </c>
      <c r="I92" t="s">
        <v>17</v>
      </c>
      <c r="J92" t="s">
        <v>22</v>
      </c>
      <c r="K92" t="s">
        <v>58</v>
      </c>
      <c r="L92" s="14" t="s">
        <v>20</v>
      </c>
      <c r="M92" s="14" t="s">
        <v>20</v>
      </c>
    </row>
    <row r="93" spans="1:13">
      <c r="A93" s="14">
        <v>5112918</v>
      </c>
      <c r="B93" s="14" t="s">
        <v>221</v>
      </c>
      <c r="C93" s="17">
        <v>4083993</v>
      </c>
      <c r="D93" t="s">
        <v>222</v>
      </c>
      <c r="E93" s="14" t="s">
        <v>104</v>
      </c>
      <c r="F93" s="14">
        <v>7</v>
      </c>
      <c r="G93" s="14">
        <v>3</v>
      </c>
      <c r="H93" s="14" t="s">
        <v>105</v>
      </c>
      <c r="I93" t="s">
        <v>69</v>
      </c>
      <c r="J93" t="s">
        <v>70</v>
      </c>
      <c r="K93" t="s">
        <v>71</v>
      </c>
      <c r="L93" s="14" t="s">
        <v>20</v>
      </c>
      <c r="M93" s="14" t="s">
        <v>20</v>
      </c>
    </row>
    <row r="94" spans="1:13">
      <c r="A94" s="14">
        <v>5113913</v>
      </c>
      <c r="B94" s="14" t="s">
        <v>223</v>
      </c>
      <c r="C94" s="17">
        <v>4060034</v>
      </c>
      <c r="D94" t="s">
        <v>224</v>
      </c>
      <c r="E94" s="14" t="s">
        <v>104</v>
      </c>
      <c r="F94" s="14">
        <v>2</v>
      </c>
      <c r="G94" s="14"/>
      <c r="H94" s="20" t="s">
        <v>225</v>
      </c>
      <c r="I94" t="s">
        <v>28</v>
      </c>
      <c r="J94" t="s">
        <v>226</v>
      </c>
      <c r="K94" t="s">
        <v>227</v>
      </c>
      <c r="L94" s="14" t="s">
        <v>20</v>
      </c>
      <c r="M94" s="14" t="s">
        <v>20</v>
      </c>
    </row>
    <row r="95" spans="1:13">
      <c r="A95" s="14">
        <v>5114864</v>
      </c>
      <c r="B95" s="14" t="s">
        <v>228</v>
      </c>
      <c r="C95" s="17">
        <v>4071563</v>
      </c>
      <c r="D95" t="s">
        <v>229</v>
      </c>
      <c r="E95" s="14" t="s">
        <v>15</v>
      </c>
      <c r="F95" s="14">
        <v>1</v>
      </c>
      <c r="G95" s="14">
        <v>3.5</v>
      </c>
      <c r="H95" s="14" t="s">
        <v>171</v>
      </c>
      <c r="I95" t="s">
        <v>28</v>
      </c>
      <c r="J95" t="s">
        <v>163</v>
      </c>
      <c r="K95" t="s">
        <v>172</v>
      </c>
      <c r="L95" s="14" t="s">
        <v>20</v>
      </c>
      <c r="M95" s="14" t="s">
        <v>20</v>
      </c>
    </row>
    <row r="96" spans="1:13">
      <c r="A96" s="14">
        <v>5114865</v>
      </c>
      <c r="B96" s="14" t="s">
        <v>230</v>
      </c>
      <c r="C96" s="17">
        <v>4071565</v>
      </c>
      <c r="D96" t="s">
        <v>231</v>
      </c>
      <c r="E96" s="14" t="s">
        <v>15</v>
      </c>
      <c r="F96" s="14">
        <v>1</v>
      </c>
      <c r="G96" s="14">
        <v>2.5</v>
      </c>
      <c r="H96" s="14" t="s">
        <v>175</v>
      </c>
      <c r="I96" t="s">
        <v>28</v>
      </c>
      <c r="J96" t="s">
        <v>163</v>
      </c>
      <c r="K96" t="s">
        <v>176</v>
      </c>
      <c r="L96" s="14" t="s">
        <v>20</v>
      </c>
      <c r="M96" s="14" t="s">
        <v>20</v>
      </c>
    </row>
    <row r="97" spans="1:13">
      <c r="A97" s="14">
        <v>5115213</v>
      </c>
      <c r="B97" s="14" t="s">
        <v>232</v>
      </c>
      <c r="C97" s="17">
        <v>4027844</v>
      </c>
      <c r="D97" t="s">
        <v>112</v>
      </c>
      <c r="E97" s="14" t="s">
        <v>104</v>
      </c>
      <c r="F97" s="14">
        <v>1</v>
      </c>
      <c r="G97" s="14">
        <v>3.8</v>
      </c>
      <c r="H97" s="14" t="s">
        <v>108</v>
      </c>
      <c r="I97" t="s">
        <v>69</v>
      </c>
      <c r="J97" t="s">
        <v>97</v>
      </c>
      <c r="K97" t="s">
        <v>113</v>
      </c>
      <c r="L97" s="14" t="s">
        <v>20</v>
      </c>
      <c r="M97" s="14" t="s">
        <v>20</v>
      </c>
    </row>
    <row r="98" spans="1:13">
      <c r="A98" s="14">
        <v>5115215</v>
      </c>
      <c r="B98" s="14" t="s">
        <v>233</v>
      </c>
      <c r="C98" s="17">
        <v>4044362</v>
      </c>
      <c r="D98" t="s">
        <v>144</v>
      </c>
      <c r="E98" s="14" t="s">
        <v>104</v>
      </c>
      <c r="F98" s="14">
        <v>1</v>
      </c>
      <c r="G98" s="14">
        <v>3.8</v>
      </c>
      <c r="H98" s="14" t="s">
        <v>108</v>
      </c>
      <c r="I98" t="s">
        <v>69</v>
      </c>
      <c r="J98" t="s">
        <v>97</v>
      </c>
      <c r="K98" t="s">
        <v>147</v>
      </c>
      <c r="L98" s="14" t="s">
        <v>20</v>
      </c>
      <c r="M98" s="14" t="s">
        <v>20</v>
      </c>
    </row>
    <row r="99" spans="1:13">
      <c r="A99" s="14">
        <v>5115216</v>
      </c>
      <c r="B99" s="14" t="s">
        <v>234</v>
      </c>
      <c r="C99" s="17">
        <v>4034093</v>
      </c>
      <c r="D99" t="s">
        <v>96</v>
      </c>
      <c r="E99" s="14" t="s">
        <v>104</v>
      </c>
      <c r="F99" s="14">
        <v>1</v>
      </c>
      <c r="G99" s="14">
        <v>3.8</v>
      </c>
      <c r="H99" s="14" t="s">
        <v>108</v>
      </c>
      <c r="I99" t="s">
        <v>69</v>
      </c>
      <c r="J99" t="s">
        <v>97</v>
      </c>
      <c r="K99" t="s">
        <v>98</v>
      </c>
      <c r="L99" s="14" t="s">
        <v>20</v>
      </c>
      <c r="M99" s="14" t="s">
        <v>20</v>
      </c>
    </row>
    <row r="100" spans="1:13">
      <c r="A100" s="14">
        <v>5115217</v>
      </c>
      <c r="B100" s="14" t="s">
        <v>235</v>
      </c>
      <c r="C100" s="17">
        <v>4086971</v>
      </c>
      <c r="D100" t="s">
        <v>236</v>
      </c>
      <c r="E100" s="14" t="s">
        <v>104</v>
      </c>
      <c r="F100" s="14">
        <v>1</v>
      </c>
      <c r="G100" s="14">
        <v>3.8</v>
      </c>
      <c r="H100" s="14" t="s">
        <v>108</v>
      </c>
      <c r="I100" t="s">
        <v>69</v>
      </c>
      <c r="J100" t="s">
        <v>97</v>
      </c>
      <c r="K100" t="s">
        <v>101</v>
      </c>
      <c r="L100" s="14" t="s">
        <v>20</v>
      </c>
      <c r="M100" s="14" t="s">
        <v>20</v>
      </c>
    </row>
    <row r="101" spans="1:13">
      <c r="A101" s="14">
        <v>5115219</v>
      </c>
      <c r="B101" s="14" t="s">
        <v>237</v>
      </c>
      <c r="C101" s="17">
        <v>4070626</v>
      </c>
      <c r="D101" t="s">
        <v>238</v>
      </c>
      <c r="E101" s="14" t="s">
        <v>104</v>
      </c>
      <c r="F101" s="14">
        <v>3</v>
      </c>
      <c r="G101" s="14">
        <v>3</v>
      </c>
      <c r="H101" s="14" t="s">
        <v>105</v>
      </c>
      <c r="I101" t="s">
        <v>69</v>
      </c>
      <c r="J101" t="s">
        <v>70</v>
      </c>
      <c r="K101" t="s">
        <v>135</v>
      </c>
      <c r="L101" s="14" t="s">
        <v>20</v>
      </c>
      <c r="M101" s="14" t="s">
        <v>20</v>
      </c>
    </row>
    <row r="102" spans="1:13">
      <c r="A102" s="14">
        <v>5115220</v>
      </c>
      <c r="B102" s="14" t="s">
        <v>239</v>
      </c>
      <c r="C102" s="17">
        <v>4070628</v>
      </c>
      <c r="D102" t="s">
        <v>240</v>
      </c>
      <c r="E102" s="14" t="s">
        <v>104</v>
      </c>
      <c r="F102" s="14">
        <v>3</v>
      </c>
      <c r="G102" s="14">
        <v>3.8</v>
      </c>
      <c r="H102" s="14" t="s">
        <v>108</v>
      </c>
      <c r="I102" t="s">
        <v>69</v>
      </c>
      <c r="J102" t="s">
        <v>85</v>
      </c>
      <c r="K102" t="s">
        <v>86</v>
      </c>
      <c r="L102" s="14" t="s">
        <v>20</v>
      </c>
      <c r="M102" s="14" t="s">
        <v>20</v>
      </c>
    </row>
    <row r="103" spans="1:13">
      <c r="A103" s="14">
        <v>5115271</v>
      </c>
      <c r="B103" s="14" t="s">
        <v>241</v>
      </c>
      <c r="C103" s="17">
        <v>4070632</v>
      </c>
      <c r="D103" t="s">
        <v>242</v>
      </c>
      <c r="E103" s="14" t="s">
        <v>104</v>
      </c>
      <c r="F103" s="14">
        <v>3</v>
      </c>
      <c r="G103" s="14">
        <v>3.8</v>
      </c>
      <c r="H103" s="14" t="s">
        <v>108</v>
      </c>
      <c r="I103" t="s">
        <v>69</v>
      </c>
      <c r="J103" t="s">
        <v>85</v>
      </c>
      <c r="K103" t="s">
        <v>157</v>
      </c>
      <c r="L103" s="14" t="s">
        <v>20</v>
      </c>
      <c r="M103" s="14" t="s">
        <v>20</v>
      </c>
    </row>
    <row r="104" spans="1:13">
      <c r="A104" s="14">
        <v>5115272</v>
      </c>
      <c r="B104" s="14" t="s">
        <v>243</v>
      </c>
      <c r="C104" s="17">
        <v>4070634</v>
      </c>
      <c r="D104" t="s">
        <v>244</v>
      </c>
      <c r="E104" s="14" t="s">
        <v>104</v>
      </c>
      <c r="F104" s="14">
        <v>3</v>
      </c>
      <c r="G104" s="14">
        <v>3.8</v>
      </c>
      <c r="H104" s="14" t="s">
        <v>108</v>
      </c>
      <c r="I104" t="s">
        <v>69</v>
      </c>
      <c r="J104" t="s">
        <v>85</v>
      </c>
      <c r="K104" t="s">
        <v>91</v>
      </c>
      <c r="L104" s="14" t="s">
        <v>20</v>
      </c>
      <c r="M104" s="14" t="s">
        <v>20</v>
      </c>
    </row>
    <row r="105" spans="1:13">
      <c r="A105" s="14">
        <v>5116197</v>
      </c>
      <c r="B105" s="14" t="s">
        <v>245</v>
      </c>
      <c r="C105" s="17">
        <v>4003819</v>
      </c>
      <c r="D105" t="s">
        <v>103</v>
      </c>
      <c r="E105" s="14" t="s">
        <v>104</v>
      </c>
      <c r="F105" s="14">
        <v>1</v>
      </c>
      <c r="G105" s="14">
        <v>3</v>
      </c>
      <c r="H105" s="14" t="s">
        <v>105</v>
      </c>
      <c r="I105" t="s">
        <v>69</v>
      </c>
      <c r="J105" t="s">
        <v>70</v>
      </c>
      <c r="K105" t="s">
        <v>71</v>
      </c>
      <c r="L105" s="14" t="s">
        <v>20</v>
      </c>
      <c r="M105" s="14" t="s">
        <v>20</v>
      </c>
    </row>
    <row r="106" spans="1:13">
      <c r="A106" s="14">
        <v>5116198</v>
      </c>
      <c r="B106" s="14" t="s">
        <v>246</v>
      </c>
      <c r="C106" s="17">
        <v>4088398</v>
      </c>
      <c r="D106" t="s">
        <v>247</v>
      </c>
      <c r="E106" s="14" t="s">
        <v>104</v>
      </c>
      <c r="F106" s="14">
        <v>1</v>
      </c>
      <c r="G106" s="14">
        <v>3.8</v>
      </c>
      <c r="H106" s="14" t="s">
        <v>108</v>
      </c>
      <c r="I106" t="s">
        <v>69</v>
      </c>
      <c r="J106" t="s">
        <v>97</v>
      </c>
      <c r="K106" t="s">
        <v>98</v>
      </c>
      <c r="L106" s="14" t="s">
        <v>20</v>
      </c>
      <c r="M106" s="14" t="s">
        <v>20</v>
      </c>
    </row>
    <row r="107" spans="1:13">
      <c r="A107" s="14">
        <v>5116199</v>
      </c>
      <c r="B107" s="14" t="s">
        <v>248</v>
      </c>
      <c r="C107" s="17">
        <v>4088400</v>
      </c>
      <c r="D107" t="s">
        <v>249</v>
      </c>
      <c r="E107" s="14" t="s">
        <v>104</v>
      </c>
      <c r="F107" s="14">
        <v>1</v>
      </c>
      <c r="G107" s="14">
        <v>3.8</v>
      </c>
      <c r="H107" s="14" t="s">
        <v>108</v>
      </c>
      <c r="I107" t="s">
        <v>69</v>
      </c>
      <c r="J107" t="s">
        <v>97</v>
      </c>
      <c r="K107" t="s">
        <v>101</v>
      </c>
      <c r="L107" s="14" t="s">
        <v>20</v>
      </c>
      <c r="M107" s="14" t="s">
        <v>20</v>
      </c>
    </row>
    <row r="108" spans="1:13">
      <c r="A108" s="14">
        <v>5116200</v>
      </c>
      <c r="B108" s="14" t="s">
        <v>250</v>
      </c>
      <c r="C108" s="17">
        <v>4088402</v>
      </c>
      <c r="D108" t="s">
        <v>251</v>
      </c>
      <c r="E108" s="14" t="s">
        <v>104</v>
      </c>
      <c r="F108" s="14">
        <v>1</v>
      </c>
      <c r="G108" s="14">
        <v>3</v>
      </c>
      <c r="H108" s="14" t="s">
        <v>105</v>
      </c>
      <c r="I108" t="s">
        <v>69</v>
      </c>
      <c r="J108" t="s">
        <v>70</v>
      </c>
      <c r="K108" t="s">
        <v>71</v>
      </c>
      <c r="L108" s="14" t="s">
        <v>20</v>
      </c>
      <c r="M108" s="14" t="s">
        <v>20</v>
      </c>
    </row>
    <row r="109" spans="1:13">
      <c r="A109" s="14">
        <v>5116211</v>
      </c>
      <c r="B109" s="14" t="s">
        <v>252</v>
      </c>
      <c r="C109" s="17">
        <v>4063040</v>
      </c>
      <c r="D109" t="s">
        <v>253</v>
      </c>
      <c r="E109" s="14" t="s">
        <v>104</v>
      </c>
      <c r="F109" s="14">
        <v>1</v>
      </c>
      <c r="G109" s="14">
        <v>3.8</v>
      </c>
      <c r="H109" s="14" t="s">
        <v>108</v>
      </c>
      <c r="I109" t="s">
        <v>69</v>
      </c>
      <c r="J109" t="s">
        <v>85</v>
      </c>
      <c r="K109" t="s">
        <v>86</v>
      </c>
      <c r="L109" s="14" t="s">
        <v>20</v>
      </c>
      <c r="M109" s="14" t="s">
        <v>20</v>
      </c>
    </row>
    <row r="110" spans="1:13">
      <c r="A110" s="14">
        <v>5116212</v>
      </c>
      <c r="B110" s="14" t="s">
        <v>254</v>
      </c>
      <c r="C110" s="17">
        <v>4088404</v>
      </c>
      <c r="D110" t="s">
        <v>255</v>
      </c>
      <c r="E110" s="14" t="s">
        <v>104</v>
      </c>
      <c r="F110" s="14">
        <v>1</v>
      </c>
      <c r="G110" s="14">
        <v>3.8</v>
      </c>
      <c r="H110" s="14" t="s">
        <v>108</v>
      </c>
      <c r="I110" t="s">
        <v>69</v>
      </c>
      <c r="J110" t="s">
        <v>85</v>
      </c>
      <c r="K110" t="s">
        <v>157</v>
      </c>
      <c r="L110" s="14" t="s">
        <v>20</v>
      </c>
      <c r="M110" s="14" t="s">
        <v>20</v>
      </c>
    </row>
    <row r="111" spans="1:13">
      <c r="A111" s="14">
        <v>5116213</v>
      </c>
      <c r="B111" s="14" t="s">
        <v>256</v>
      </c>
      <c r="C111" s="17">
        <v>4088406</v>
      </c>
      <c r="D111" t="s">
        <v>257</v>
      </c>
      <c r="E111" s="14" t="s">
        <v>104</v>
      </c>
      <c r="F111" s="14">
        <v>1</v>
      </c>
      <c r="G111" s="14">
        <v>3.8</v>
      </c>
      <c r="H111" s="14" t="s">
        <v>108</v>
      </c>
      <c r="I111" t="s">
        <v>69</v>
      </c>
      <c r="J111" t="s">
        <v>85</v>
      </c>
      <c r="K111" t="s">
        <v>91</v>
      </c>
      <c r="L111" s="14" t="s">
        <v>20</v>
      </c>
      <c r="M111" s="14" t="s">
        <v>20</v>
      </c>
    </row>
    <row r="112" spans="1:13">
      <c r="A112" s="14">
        <v>5116214</v>
      </c>
      <c r="B112" s="14" t="s">
        <v>258</v>
      </c>
      <c r="C112" s="17">
        <v>4088410</v>
      </c>
      <c r="D112" t="s">
        <v>259</v>
      </c>
      <c r="E112" s="14" t="s">
        <v>104</v>
      </c>
      <c r="F112" s="14">
        <v>1</v>
      </c>
      <c r="G112" s="14">
        <v>3.8</v>
      </c>
      <c r="H112" s="14" t="s">
        <v>108</v>
      </c>
      <c r="I112" t="s">
        <v>69</v>
      </c>
      <c r="J112" t="s">
        <v>97</v>
      </c>
      <c r="K112" t="s">
        <v>98</v>
      </c>
      <c r="L112" s="14" t="s">
        <v>20</v>
      </c>
      <c r="M112" s="14" t="s">
        <v>20</v>
      </c>
    </row>
    <row r="113" spans="1:13">
      <c r="A113" s="14">
        <v>5116215</v>
      </c>
      <c r="B113" s="14" t="s">
        <v>260</v>
      </c>
      <c r="C113" s="17">
        <v>4088412</v>
      </c>
      <c r="D113" t="s">
        <v>261</v>
      </c>
      <c r="E113" s="14" t="s">
        <v>104</v>
      </c>
      <c r="F113" s="14">
        <v>1</v>
      </c>
      <c r="G113" s="14">
        <v>3.8</v>
      </c>
      <c r="H113" s="14" t="s">
        <v>108</v>
      </c>
      <c r="I113" t="s">
        <v>69</v>
      </c>
      <c r="J113" t="s">
        <v>97</v>
      </c>
      <c r="K113" t="s">
        <v>101</v>
      </c>
      <c r="L113" s="14" t="s">
        <v>20</v>
      </c>
      <c r="M113" s="14" t="s">
        <v>20</v>
      </c>
    </row>
    <row r="114" spans="1:13">
      <c r="A114" s="14">
        <v>5116216</v>
      </c>
      <c r="B114" s="14" t="s">
        <v>262</v>
      </c>
      <c r="C114" s="17">
        <v>4088408</v>
      </c>
      <c r="D114" t="s">
        <v>263</v>
      </c>
      <c r="E114" s="14" t="s">
        <v>104</v>
      </c>
      <c r="F114" s="14">
        <v>1</v>
      </c>
      <c r="G114" s="14">
        <v>3.8</v>
      </c>
      <c r="H114" s="14" t="s">
        <v>108</v>
      </c>
      <c r="I114" t="s">
        <v>69</v>
      </c>
      <c r="J114" t="s">
        <v>97</v>
      </c>
      <c r="K114" t="s">
        <v>115</v>
      </c>
      <c r="L114" s="14" t="s">
        <v>20</v>
      </c>
      <c r="M114" s="14" t="s">
        <v>20</v>
      </c>
    </row>
    <row r="115" spans="1:13">
      <c r="A115" s="14">
        <v>5116218</v>
      </c>
      <c r="B115" s="14" t="s">
        <v>264</v>
      </c>
      <c r="C115" s="17">
        <v>4088374</v>
      </c>
      <c r="D115" t="s">
        <v>265</v>
      </c>
      <c r="E115" s="14" t="s">
        <v>104</v>
      </c>
      <c r="F115" s="14">
        <v>1</v>
      </c>
      <c r="G115" s="14">
        <v>3.8</v>
      </c>
      <c r="H115" s="14" t="s">
        <v>108</v>
      </c>
      <c r="I115" t="s">
        <v>69</v>
      </c>
      <c r="J115" t="s">
        <v>85</v>
      </c>
      <c r="K115" t="s">
        <v>91</v>
      </c>
      <c r="L115" s="14" t="s">
        <v>20</v>
      </c>
      <c r="M115" s="14" t="s">
        <v>20</v>
      </c>
    </row>
    <row r="116" spans="1:13">
      <c r="A116" s="14">
        <v>5117558</v>
      </c>
      <c r="B116" s="14" t="s">
        <v>266</v>
      </c>
      <c r="C116" s="17">
        <v>4013289</v>
      </c>
      <c r="D116" t="s">
        <v>190</v>
      </c>
      <c r="E116" s="14" t="s">
        <v>15</v>
      </c>
      <c r="F116" s="14">
        <v>1</v>
      </c>
      <c r="G116" s="14">
        <v>3.5</v>
      </c>
      <c r="H116" s="14" t="s">
        <v>267</v>
      </c>
      <c r="I116" t="s">
        <v>28</v>
      </c>
      <c r="J116" t="s">
        <v>163</v>
      </c>
      <c r="K116" t="s">
        <v>185</v>
      </c>
      <c r="L116" s="14" t="s">
        <v>20</v>
      </c>
      <c r="M116" s="14" t="s">
        <v>20</v>
      </c>
    </row>
    <row r="117" spans="1:13">
      <c r="A117" s="14">
        <v>5117722</v>
      </c>
      <c r="B117" s="14" t="s">
        <v>268</v>
      </c>
      <c r="C117" s="17">
        <v>4011576</v>
      </c>
      <c r="D117" t="s">
        <v>56</v>
      </c>
      <c r="E117" s="14" t="s">
        <v>15</v>
      </c>
      <c r="F117" s="14">
        <v>1</v>
      </c>
      <c r="G117" s="14"/>
      <c r="H117" s="21" t="s">
        <v>269</v>
      </c>
      <c r="I117" t="s">
        <v>17</v>
      </c>
      <c r="J117" t="s">
        <v>22</v>
      </c>
      <c r="K117" t="s">
        <v>58</v>
      </c>
      <c r="L117" s="14" t="s">
        <v>20</v>
      </c>
      <c r="M117" s="14" t="s">
        <v>20</v>
      </c>
    </row>
    <row r="118" ht="22.95" customHeight="1" spans="1:13">
      <c r="A118" s="14">
        <v>5000648</v>
      </c>
      <c r="B118" s="14" t="s">
        <v>270</v>
      </c>
      <c r="C118" s="17">
        <v>4031438</v>
      </c>
      <c r="D118" s="18" t="s">
        <v>45</v>
      </c>
      <c r="E118" s="14" t="s">
        <v>15</v>
      </c>
      <c r="F118" s="14">
        <v>4</v>
      </c>
      <c r="G118" s="14">
        <v>3.8</v>
      </c>
      <c r="H118" s="20" t="s">
        <v>27</v>
      </c>
      <c r="I118" t="s">
        <v>28</v>
      </c>
      <c r="J118" s="11" t="s">
        <v>46</v>
      </c>
      <c r="K118" s="11" t="s">
        <v>43</v>
      </c>
      <c r="L118" s="14" t="s">
        <v>20</v>
      </c>
      <c r="M118" s="14" t="s">
        <v>20</v>
      </c>
    </row>
    <row r="119" ht="22.95" customHeight="1" spans="1:13">
      <c r="A119" s="14">
        <v>5037473</v>
      </c>
      <c r="B119" s="19" t="s">
        <v>271</v>
      </c>
      <c r="C119" s="17">
        <v>4031438</v>
      </c>
      <c r="D119" s="11" t="s">
        <v>45</v>
      </c>
      <c r="E119" s="14" t="s">
        <v>15</v>
      </c>
      <c r="F119" s="14">
        <v>2</v>
      </c>
      <c r="G119" s="14">
        <v>3.8</v>
      </c>
      <c r="H119" s="20" t="s">
        <v>27</v>
      </c>
      <c r="I119" t="s">
        <v>28</v>
      </c>
      <c r="J119" s="11" t="s">
        <v>46</v>
      </c>
      <c r="K119" s="11" t="s">
        <v>43</v>
      </c>
      <c r="L119" s="14" t="s">
        <v>20</v>
      </c>
      <c r="M119" s="14" t="s">
        <v>20</v>
      </c>
    </row>
    <row r="120" ht="22.95" customHeight="1" spans="1:13">
      <c r="A120" s="14">
        <v>5000658</v>
      </c>
      <c r="B120" s="19" t="s">
        <v>272</v>
      </c>
      <c r="C120" s="17">
        <v>4000693</v>
      </c>
      <c r="D120" s="11" t="s">
        <v>42</v>
      </c>
      <c r="E120" s="14" t="s">
        <v>15</v>
      </c>
      <c r="F120" s="14">
        <v>1</v>
      </c>
      <c r="G120" s="14">
        <v>3.8</v>
      </c>
      <c r="H120" s="20" t="s">
        <v>27</v>
      </c>
      <c r="I120" t="s">
        <v>28</v>
      </c>
      <c r="J120" s="11" t="s">
        <v>38</v>
      </c>
      <c r="K120" s="11" t="s">
        <v>43</v>
      </c>
      <c r="L120" s="14" t="s">
        <v>20</v>
      </c>
      <c r="M120" s="14" t="s">
        <v>20</v>
      </c>
    </row>
  </sheetData>
  <autoFilter ref="A1:M120"/>
  <conditionalFormatting sqref="A:A">
    <cfRule type="duplicateValues" dxfId="0" priority="1" stopIfTrue="1"/>
  </conditionalFormatting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</sheetPr>
  <dimension ref="A1:P120"/>
  <sheetViews>
    <sheetView workbookViewId="0">
      <selection activeCell="A1" sqref="A1"/>
    </sheetView>
  </sheetViews>
  <sheetFormatPr defaultColWidth="8" defaultRowHeight="16"/>
  <cols>
    <col min="2" max="2" width="44.7333333333333" customWidth="1"/>
    <col min="7" max="12" width="13.2666666666667" customWidth="1"/>
    <col min="15" max="15" width="14.3333333333333" customWidth="1"/>
    <col min="16" max="16" width="15.2666666666667" customWidth="1"/>
  </cols>
  <sheetData>
    <row r="1" spans="1:16">
      <c r="A1" s="12" t="s">
        <v>0</v>
      </c>
      <c r="B1" s="12" t="s">
        <v>1</v>
      </c>
      <c r="C1" s="12" t="s">
        <v>273</v>
      </c>
      <c r="D1" s="12" t="s">
        <v>274</v>
      </c>
      <c r="E1" s="12" t="s">
        <v>275</v>
      </c>
      <c r="F1" s="12" t="s">
        <v>276</v>
      </c>
      <c r="G1" s="12" t="s">
        <v>277</v>
      </c>
      <c r="H1" s="12" t="s">
        <v>278</v>
      </c>
      <c r="I1" s="12" t="s">
        <v>279</v>
      </c>
      <c r="J1" s="12" t="s">
        <v>280</v>
      </c>
      <c r="K1" s="12" t="s">
        <v>281</v>
      </c>
      <c r="L1" s="12" t="s">
        <v>282</v>
      </c>
      <c r="M1" s="12" t="s">
        <v>283</v>
      </c>
      <c r="N1" s="12" t="s">
        <v>284</v>
      </c>
      <c r="O1" s="12" t="s">
        <v>285</v>
      </c>
      <c r="P1" s="12" t="s">
        <v>286</v>
      </c>
    </row>
    <row r="2" spans="1:16">
      <c r="A2" s="14">
        <v>5000469</v>
      </c>
      <c r="B2" s="15" t="str">
        <f>VLOOKUP(A:A,'1-物料数据'!A:B,2,FALSE)</f>
        <v>海大牌罗非鱼配合饲料127-L40Φ3.0</v>
      </c>
      <c r="C2" s="15" t="s">
        <v>287</v>
      </c>
      <c r="D2" s="14">
        <v>2.4</v>
      </c>
      <c r="E2" s="14">
        <v>0</v>
      </c>
      <c r="F2" s="14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4">
        <v>15.12</v>
      </c>
      <c r="M2" s="15">
        <v>0</v>
      </c>
      <c r="N2" s="15">
        <v>0</v>
      </c>
      <c r="O2" s="14">
        <v>0.34</v>
      </c>
      <c r="P2" s="14">
        <v>0.88</v>
      </c>
    </row>
    <row r="3" spans="1:16">
      <c r="A3" s="14">
        <v>5000495</v>
      </c>
      <c r="B3" s="15" t="str">
        <f>VLOOKUP(A:A,'1-物料数据'!A:B,2,FALSE)</f>
        <v>海大牌草鱼配合饲料101-L40Φ3.0</v>
      </c>
      <c r="C3" s="15" t="s">
        <v>287</v>
      </c>
      <c r="D3" s="14">
        <v>0</v>
      </c>
      <c r="E3" s="14">
        <v>0</v>
      </c>
      <c r="F3" s="14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4">
        <v>14.16</v>
      </c>
      <c r="M3" s="15">
        <v>0</v>
      </c>
      <c r="N3" s="15">
        <v>0</v>
      </c>
      <c r="O3" s="14">
        <v>2.62</v>
      </c>
      <c r="P3" s="14">
        <v>1.31</v>
      </c>
    </row>
    <row r="4" spans="1:16">
      <c r="A4" s="14">
        <v>5000517</v>
      </c>
      <c r="B4" s="15" t="str">
        <f>VLOOKUP(A:A,'1-物料数据'!A:B,2,FALSE)</f>
        <v>海大牌草鱼配合饲料188-L40Φ3.0</v>
      </c>
      <c r="C4" s="15" t="s">
        <v>287</v>
      </c>
      <c r="D4" s="14">
        <v>0</v>
      </c>
      <c r="E4" s="14">
        <v>0</v>
      </c>
      <c r="F4" s="14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4">
        <v>13.2</v>
      </c>
      <c r="M4" s="15">
        <v>0</v>
      </c>
      <c r="N4" s="15">
        <v>0</v>
      </c>
      <c r="O4" s="14">
        <v>0</v>
      </c>
      <c r="P4" s="14">
        <v>0.17</v>
      </c>
    </row>
    <row r="5" spans="1:16">
      <c r="A5" s="14">
        <v>5000611</v>
      </c>
      <c r="B5" s="15" t="str">
        <f>VLOOKUP(A:A,'1-物料数据'!A:B,2,FALSE)</f>
        <v>海大牌蛋鸭配合饲料933B-L40Φ3.8</v>
      </c>
      <c r="C5" s="15" t="s">
        <v>288</v>
      </c>
      <c r="D5" s="14">
        <v>24</v>
      </c>
      <c r="E5" s="14">
        <v>0</v>
      </c>
      <c r="F5" s="14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4">
        <v>26.52</v>
      </c>
      <c r="M5" s="15">
        <v>60</v>
      </c>
      <c r="N5" s="15">
        <v>32</v>
      </c>
      <c r="O5" s="14">
        <v>21.07</v>
      </c>
      <c r="P5" s="14">
        <v>26.69</v>
      </c>
    </row>
    <row r="6" spans="1:16">
      <c r="A6" s="14">
        <v>5000613</v>
      </c>
      <c r="B6" s="15" t="str">
        <f>VLOOKUP(A:A,'1-物料数据'!A:B,2,FALSE)</f>
        <v>海大牌蛋鸭配合饲料935B-L40Φ3.8</v>
      </c>
      <c r="C6" s="15" t="s">
        <v>289</v>
      </c>
      <c r="D6" s="14">
        <v>0</v>
      </c>
      <c r="E6" s="14">
        <v>0</v>
      </c>
      <c r="F6" s="14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4">
        <v>0</v>
      </c>
      <c r="M6" s="15">
        <v>0</v>
      </c>
      <c r="N6" s="15">
        <v>0</v>
      </c>
      <c r="O6" s="14">
        <v>0</v>
      </c>
      <c r="P6" s="14">
        <v>0</v>
      </c>
    </row>
    <row r="7" spans="1:16">
      <c r="A7" s="14">
        <v>5000618</v>
      </c>
      <c r="B7" s="15" t="str">
        <f>VLOOKUP(A:A,'1-物料数据'!A:B,2,FALSE)</f>
        <v>海恒牌蛋鸭配合饲料613B-L40Φ3.8</v>
      </c>
      <c r="C7" s="15" t="s">
        <v>289</v>
      </c>
      <c r="D7" s="14">
        <v>0</v>
      </c>
      <c r="E7" s="14">
        <v>0</v>
      </c>
      <c r="F7" s="14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4">
        <v>0</v>
      </c>
      <c r="M7" s="15">
        <v>44</v>
      </c>
      <c r="N7" s="15">
        <v>0</v>
      </c>
      <c r="O7" s="14">
        <v>0</v>
      </c>
      <c r="P7" s="14">
        <v>0</v>
      </c>
    </row>
    <row r="8" spans="1:16">
      <c r="A8" s="14">
        <v>5000632</v>
      </c>
      <c r="B8" s="15" t="str">
        <f>VLOOKUP(A:A,'1-物料数据'!A:B,2,FALSE)</f>
        <v>海大牌小鸭配合饲料901-L40Φ2.5</v>
      </c>
      <c r="C8" s="15" t="s">
        <v>290</v>
      </c>
      <c r="D8" s="14">
        <v>6.28</v>
      </c>
      <c r="E8" s="14">
        <v>0</v>
      </c>
      <c r="F8" s="14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4">
        <v>13.48</v>
      </c>
      <c r="M8" s="15">
        <v>26</v>
      </c>
      <c r="N8" s="15">
        <v>16</v>
      </c>
      <c r="O8" s="14">
        <v>7.13</v>
      </c>
      <c r="P8" s="14">
        <v>5.39</v>
      </c>
    </row>
    <row r="9" spans="1:16">
      <c r="A9" s="14">
        <v>5000633</v>
      </c>
      <c r="B9" s="15" t="str">
        <f>VLOOKUP(A:A,'1-物料数据'!A:B,2,FALSE)</f>
        <v>海恒牌小鸭配合饲料601-L40Φ2.5</v>
      </c>
      <c r="C9" s="15" t="s">
        <v>290</v>
      </c>
      <c r="D9" s="14">
        <v>6.8</v>
      </c>
      <c r="E9" s="14">
        <v>0</v>
      </c>
      <c r="F9" s="14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4">
        <v>22.28</v>
      </c>
      <c r="M9" s="15">
        <v>40</v>
      </c>
      <c r="N9" s="15">
        <v>20</v>
      </c>
      <c r="O9" s="14">
        <v>9.53</v>
      </c>
      <c r="P9" s="14">
        <v>8.35</v>
      </c>
    </row>
    <row r="10" spans="1:16">
      <c r="A10" s="14">
        <v>5000647</v>
      </c>
      <c r="B10" s="15" t="str">
        <f>VLOOKUP(A:A,'1-物料数据'!A:B,2,FALSE)</f>
        <v>海大牌肉鸭配合饲料906-L40Φ3.8</v>
      </c>
      <c r="C10" s="15" t="s">
        <v>288</v>
      </c>
      <c r="D10" s="14">
        <v>12</v>
      </c>
      <c r="E10" s="14">
        <v>0</v>
      </c>
      <c r="F10" s="14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4">
        <v>25.24</v>
      </c>
      <c r="M10" s="15">
        <v>60</v>
      </c>
      <c r="N10" s="15">
        <v>32</v>
      </c>
      <c r="O10" s="14">
        <v>20.97</v>
      </c>
      <c r="P10" s="14">
        <v>18.46</v>
      </c>
    </row>
    <row r="11" spans="1:16">
      <c r="A11" s="14">
        <v>5000648</v>
      </c>
      <c r="B11" s="14" t="s">
        <v>270</v>
      </c>
      <c r="C11" s="15" t="s">
        <v>290</v>
      </c>
      <c r="D11" s="14">
        <v>36.2</v>
      </c>
      <c r="E11" s="14">
        <v>0</v>
      </c>
      <c r="F11" s="14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4">
        <v>45.04</v>
      </c>
      <c r="M11" s="15">
        <v>40</v>
      </c>
      <c r="N11" s="15">
        <v>20</v>
      </c>
      <c r="O11" s="14">
        <v>8.11</v>
      </c>
      <c r="P11" s="14">
        <v>9.28</v>
      </c>
    </row>
    <row r="12" spans="1:16">
      <c r="A12" s="14">
        <v>5000652</v>
      </c>
      <c r="B12" s="15" t="str">
        <f>VLOOKUP(A:A,'1-物料数据'!A:B,2,FALSE)</f>
        <v>海恒牌肉鸭配合饲料235-L40Φ3.8</v>
      </c>
      <c r="C12" s="15" t="s">
        <v>289</v>
      </c>
      <c r="D12" s="14">
        <v>0</v>
      </c>
      <c r="E12" s="14">
        <v>17.2</v>
      </c>
      <c r="F12" s="14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4">
        <v>13.88</v>
      </c>
      <c r="M12" s="15">
        <v>0</v>
      </c>
      <c r="N12" s="15">
        <v>0</v>
      </c>
      <c r="O12" s="14">
        <v>8.79</v>
      </c>
      <c r="P12" s="14">
        <v>10.96</v>
      </c>
    </row>
    <row r="13" spans="1:16">
      <c r="A13" s="14">
        <v>5000653</v>
      </c>
      <c r="B13" s="15" t="str">
        <f>VLOOKUP(A:A,'1-物料数据'!A:B,2,FALSE)</f>
        <v>海恒牌番鸭配合饲料533-L40Φ3.8</v>
      </c>
      <c r="C13" s="15" t="s">
        <v>290</v>
      </c>
      <c r="D13" s="14">
        <v>30.8</v>
      </c>
      <c r="E13" s="14">
        <v>0</v>
      </c>
      <c r="F13" s="14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4">
        <v>53.56</v>
      </c>
      <c r="M13" s="15">
        <v>88</v>
      </c>
      <c r="N13" s="15">
        <v>24</v>
      </c>
      <c r="O13" s="14">
        <v>20.57</v>
      </c>
      <c r="P13" s="14">
        <v>22.85</v>
      </c>
    </row>
    <row r="14" spans="1:16">
      <c r="A14" s="14">
        <v>5000654</v>
      </c>
      <c r="B14" s="14" t="s">
        <v>291</v>
      </c>
      <c r="C14" s="15" t="s">
        <v>288</v>
      </c>
      <c r="D14" s="14">
        <v>0</v>
      </c>
      <c r="E14" s="14">
        <v>0</v>
      </c>
      <c r="F14" s="14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4">
        <v>34.72</v>
      </c>
      <c r="M14" s="15">
        <v>60</v>
      </c>
      <c r="N14" s="15">
        <v>32</v>
      </c>
      <c r="O14" s="14">
        <v>16.27</v>
      </c>
      <c r="P14" s="14">
        <v>15.45</v>
      </c>
    </row>
    <row r="15" spans="1:16">
      <c r="A15" s="14">
        <v>5000656</v>
      </c>
      <c r="B15" s="15" t="str">
        <f>VLOOKUP(A:A,'1-物料数据'!A:B,2,FALSE)</f>
        <v>海恒牌肉鸭配合饲料606-L40Φ3.8</v>
      </c>
      <c r="C15" s="15" t="s">
        <v>289</v>
      </c>
      <c r="D15" s="14">
        <v>6</v>
      </c>
      <c r="E15" s="14">
        <v>6</v>
      </c>
      <c r="F15" s="14">
        <v>6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4">
        <v>50.96</v>
      </c>
      <c r="M15" s="15">
        <v>33</v>
      </c>
      <c r="N15" s="15">
        <v>0</v>
      </c>
      <c r="O15" s="14">
        <v>12.32</v>
      </c>
      <c r="P15" s="14">
        <v>10.03</v>
      </c>
    </row>
    <row r="16" spans="1:16">
      <c r="A16" s="14">
        <v>5000658</v>
      </c>
      <c r="B16" s="14" t="s">
        <v>272</v>
      </c>
      <c r="C16" s="15" t="s">
        <v>288</v>
      </c>
      <c r="D16" s="14">
        <v>53.32</v>
      </c>
      <c r="E16" s="14">
        <v>0</v>
      </c>
      <c r="F16" s="14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4">
        <v>127.16</v>
      </c>
      <c r="M16" s="15">
        <v>200</v>
      </c>
      <c r="N16" s="15">
        <v>89</v>
      </c>
      <c r="O16" s="14">
        <v>81.98</v>
      </c>
      <c r="P16" s="14">
        <v>88.95</v>
      </c>
    </row>
    <row r="17" spans="1:16">
      <c r="A17" s="14">
        <v>5000659</v>
      </c>
      <c r="B17" s="15" t="str">
        <f>VLOOKUP(A:A,'1-物料数据'!A:B,2,FALSE)</f>
        <v>海恒牌肉鸭配合饲料688-L40Φ3.8</v>
      </c>
      <c r="C17" s="15" t="s">
        <v>288</v>
      </c>
      <c r="D17" s="14">
        <v>82.2</v>
      </c>
      <c r="E17" s="14">
        <v>0</v>
      </c>
      <c r="F17" s="14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4">
        <v>141.56</v>
      </c>
      <c r="M17" s="15">
        <v>120</v>
      </c>
      <c r="N17" s="15">
        <v>60</v>
      </c>
      <c r="O17" s="14">
        <v>53.78</v>
      </c>
      <c r="P17" s="14">
        <v>61.89</v>
      </c>
    </row>
    <row r="18" spans="1:16">
      <c r="A18" s="14">
        <v>5001186</v>
      </c>
      <c r="B18" s="15" t="str">
        <f>VLOOKUP(A:A,'1-物料数据'!A:B,2,FALSE)</f>
        <v>海大牌罗非鱼配合饲料225-L40Φ3.0</v>
      </c>
      <c r="C18" s="15" t="s">
        <v>287</v>
      </c>
      <c r="D18" s="14">
        <v>16</v>
      </c>
      <c r="E18" s="14">
        <v>0</v>
      </c>
      <c r="F18" s="14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4">
        <v>30.88</v>
      </c>
      <c r="M18" s="15">
        <v>0</v>
      </c>
      <c r="N18" s="15">
        <v>0</v>
      </c>
      <c r="O18" s="14">
        <v>2.69</v>
      </c>
      <c r="P18" s="14">
        <v>3.01</v>
      </c>
    </row>
    <row r="19" spans="1:16">
      <c r="A19" s="14">
        <v>5013903</v>
      </c>
      <c r="B19" s="15" t="str">
        <f>VLOOKUP(A:A,'1-物料数据'!A:B,2,FALSE)</f>
        <v>海大牌鱼种配合饲料100A-1P40Φ1P</v>
      </c>
      <c r="C19" s="15" t="s">
        <v>287</v>
      </c>
      <c r="D19" s="14">
        <v>9.84</v>
      </c>
      <c r="E19" s="14">
        <v>0</v>
      </c>
      <c r="F19" s="14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4">
        <v>47.8</v>
      </c>
      <c r="M19" s="15">
        <v>0</v>
      </c>
      <c r="N19" s="15">
        <v>0</v>
      </c>
      <c r="O19" s="14">
        <v>6.58</v>
      </c>
      <c r="P19" s="14">
        <v>5.95</v>
      </c>
    </row>
    <row r="20" spans="1:16">
      <c r="A20" s="14">
        <v>5013904</v>
      </c>
      <c r="B20" s="15" t="str">
        <f>VLOOKUP(A:A,'1-物料数据'!A:B,2,FALSE)</f>
        <v>海大牌鱼种配合饲料100A-2P40Φ2P</v>
      </c>
      <c r="C20" s="15" t="s">
        <v>287</v>
      </c>
      <c r="D20" s="14">
        <v>1.04</v>
      </c>
      <c r="E20" s="14">
        <v>0</v>
      </c>
      <c r="F20" s="14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4">
        <v>10.76</v>
      </c>
      <c r="M20" s="15">
        <v>172</v>
      </c>
      <c r="N20" s="15">
        <v>0</v>
      </c>
      <c r="O20" s="14">
        <v>1.53</v>
      </c>
      <c r="P20" s="14">
        <v>1.12</v>
      </c>
    </row>
    <row r="21" spans="1:16">
      <c r="A21" s="14">
        <v>5013906</v>
      </c>
      <c r="B21" s="15" t="str">
        <f>VLOOKUP(A:A,'1-物料数据'!A:B,2,FALSE)</f>
        <v>海大牌鲮鱼配合饲料鲮鱼专用料-2P40Φ2P</v>
      </c>
      <c r="C21" s="15" t="s">
        <v>287</v>
      </c>
      <c r="D21" s="14">
        <v>0.6</v>
      </c>
      <c r="E21" s="14">
        <v>0</v>
      </c>
      <c r="F21" s="14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4">
        <v>9.88</v>
      </c>
      <c r="M21" s="15">
        <v>4</v>
      </c>
      <c r="N21" s="15">
        <v>0</v>
      </c>
      <c r="O21" s="14">
        <v>0.43</v>
      </c>
      <c r="P21" s="14">
        <v>0.28</v>
      </c>
    </row>
    <row r="22" spans="1:16">
      <c r="A22" s="14">
        <v>5013909</v>
      </c>
      <c r="B22" s="15" t="str">
        <f>VLOOKUP(A:A,'1-物料数据'!A:B,2,FALSE)</f>
        <v>海大牌鱼种配合饲料100A-L40Φ2.0</v>
      </c>
      <c r="C22" s="15" t="s">
        <v>287</v>
      </c>
      <c r="D22" s="14">
        <v>0</v>
      </c>
      <c r="E22" s="14">
        <v>0</v>
      </c>
      <c r="F22" s="14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4">
        <v>17.16</v>
      </c>
      <c r="M22" s="15">
        <v>0</v>
      </c>
      <c r="N22" s="15">
        <v>0</v>
      </c>
      <c r="O22" s="14">
        <v>1.74</v>
      </c>
      <c r="P22" s="14">
        <v>2</v>
      </c>
    </row>
    <row r="23" spans="1:16">
      <c r="A23" s="14">
        <v>5016078</v>
      </c>
      <c r="B23" s="15" t="str">
        <f>VLOOKUP(A:A,'1-物料数据'!A:B,2,FALSE)</f>
        <v>海大牌仔猪前期配合饲料诸多宝V1-L40Φ3.0</v>
      </c>
      <c r="C23" s="15" t="s">
        <v>289</v>
      </c>
      <c r="D23" s="14">
        <v>13.8</v>
      </c>
      <c r="E23" s="14">
        <v>0</v>
      </c>
      <c r="F23" s="14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4">
        <v>24.2</v>
      </c>
      <c r="M23" s="15">
        <v>24</v>
      </c>
      <c r="N23" s="15">
        <v>0</v>
      </c>
      <c r="O23" s="14">
        <v>4.32</v>
      </c>
      <c r="P23" s="14">
        <v>4.62</v>
      </c>
    </row>
    <row r="24" spans="1:16">
      <c r="A24" s="14">
        <v>5016104</v>
      </c>
      <c r="B24" s="15" t="str">
        <f>VLOOKUP(A:A,'1-物料数据'!A:B,2,FALSE)</f>
        <v>海大牌蛋鸭配合饲料828B-L40Φ3.8</v>
      </c>
      <c r="C24" s="15" t="s">
        <v>290</v>
      </c>
      <c r="D24" s="14">
        <v>18</v>
      </c>
      <c r="E24" s="14">
        <v>0</v>
      </c>
      <c r="F24" s="14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4">
        <v>3.6</v>
      </c>
      <c r="M24" s="15">
        <v>44</v>
      </c>
      <c r="N24" s="15">
        <v>20</v>
      </c>
      <c r="O24" s="14">
        <v>6.13</v>
      </c>
      <c r="P24" s="14">
        <v>9.86</v>
      </c>
    </row>
    <row r="25" spans="1:16">
      <c r="A25" s="14">
        <v>5022034</v>
      </c>
      <c r="B25" s="15" t="str">
        <f>VLOOKUP(A:A,'1-物料数据'!A:B,2,FALSE)</f>
        <v>海大牌淡水鱼配合饲料(鱼先丰)-L40Φ2.0</v>
      </c>
      <c r="C25" s="15" t="s">
        <v>287</v>
      </c>
      <c r="D25" s="14">
        <v>0</v>
      </c>
      <c r="E25" s="14">
        <v>0</v>
      </c>
      <c r="F25" s="14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4">
        <v>2.12</v>
      </c>
      <c r="M25" s="15">
        <v>0</v>
      </c>
      <c r="N25" s="15">
        <v>0</v>
      </c>
      <c r="O25" s="14">
        <v>4.46</v>
      </c>
      <c r="P25" s="14">
        <v>4.03</v>
      </c>
    </row>
    <row r="26" spans="1:16">
      <c r="A26" s="14">
        <v>5024959</v>
      </c>
      <c r="B26" s="15" t="str">
        <f>VLOOKUP(A:A,'1-物料数据'!A:B,2,FALSE)</f>
        <v>海大牌小猪配合饲料552-L40Φ3.8</v>
      </c>
      <c r="C26" s="15" t="s">
        <v>288</v>
      </c>
      <c r="D26" s="14">
        <v>35</v>
      </c>
      <c r="E26" s="14">
        <v>0</v>
      </c>
      <c r="F26" s="14">
        <v>12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4">
        <v>27.04</v>
      </c>
      <c r="M26" s="15">
        <v>52</v>
      </c>
      <c r="N26" s="15">
        <v>20</v>
      </c>
      <c r="O26" s="14">
        <v>21.59</v>
      </c>
      <c r="P26" s="14">
        <v>20.88</v>
      </c>
    </row>
    <row r="27" spans="1:16">
      <c r="A27" s="14">
        <v>5024961</v>
      </c>
      <c r="B27" s="15" t="str">
        <f>VLOOKUP(A:A,'1-物料数据'!A:B,2,FALSE)</f>
        <v>海大牌大猪配合饲料555A-L40Φ3.8</v>
      </c>
      <c r="C27" s="15" t="s">
        <v>288</v>
      </c>
      <c r="D27" s="14">
        <v>15.6</v>
      </c>
      <c r="E27" s="14">
        <v>0</v>
      </c>
      <c r="F27" s="14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4">
        <v>39.12</v>
      </c>
      <c r="M27" s="15">
        <v>44</v>
      </c>
      <c r="N27" s="15">
        <v>20</v>
      </c>
      <c r="O27" s="14">
        <v>13.26</v>
      </c>
      <c r="P27" s="14">
        <v>14.45</v>
      </c>
    </row>
    <row r="28" spans="1:16">
      <c r="A28" s="14">
        <v>5029505</v>
      </c>
      <c r="B28" s="14" t="s">
        <v>292</v>
      </c>
      <c r="C28" s="15" t="s">
        <v>290</v>
      </c>
      <c r="D28" s="14">
        <v>0</v>
      </c>
      <c r="E28" s="14">
        <v>0</v>
      </c>
      <c r="F28" s="14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4">
        <v>0</v>
      </c>
      <c r="M28" s="15">
        <v>40</v>
      </c>
      <c r="N28" s="15">
        <v>20</v>
      </c>
      <c r="O28" s="14">
        <v>0</v>
      </c>
      <c r="P28" s="14">
        <v>0.17</v>
      </c>
    </row>
    <row r="29" spans="1:16">
      <c r="A29" s="14">
        <v>5029506</v>
      </c>
      <c r="B29" s="15" t="str">
        <f>VLOOKUP(A:A,'1-物料数据'!A:B,2,FALSE)</f>
        <v>海大牌肉鸭配合饲料209-L40Φ3.8</v>
      </c>
      <c r="C29" s="15" t="s">
        <v>289</v>
      </c>
      <c r="D29" s="14">
        <v>26.8</v>
      </c>
      <c r="E29" s="14">
        <v>0</v>
      </c>
      <c r="F29" s="14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4">
        <v>71.84</v>
      </c>
      <c r="M29" s="15">
        <v>36</v>
      </c>
      <c r="N29" s="15">
        <v>0</v>
      </c>
      <c r="O29" s="14">
        <v>17.3</v>
      </c>
      <c r="P29" s="14">
        <v>15.94</v>
      </c>
    </row>
    <row r="30" spans="1:16">
      <c r="A30" s="14">
        <v>5032125</v>
      </c>
      <c r="B30" s="15" t="str">
        <f>VLOOKUP(A:A,'1-物料数据'!A:B,2,FALSE)</f>
        <v>宏海牌草鱼配合饲料1602-2P40Φ2P</v>
      </c>
      <c r="C30" s="15" t="s">
        <v>287</v>
      </c>
      <c r="D30" s="14">
        <v>0</v>
      </c>
      <c r="E30" s="14">
        <v>0</v>
      </c>
      <c r="F30" s="14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4">
        <v>5.56</v>
      </c>
      <c r="M30" s="15">
        <v>0</v>
      </c>
      <c r="N30" s="15">
        <v>0</v>
      </c>
      <c r="O30" s="14">
        <v>0.34</v>
      </c>
      <c r="P30" s="14">
        <v>0.5</v>
      </c>
    </row>
    <row r="31" spans="1:16">
      <c r="A31" s="14">
        <v>5032126</v>
      </c>
      <c r="B31" s="15" t="str">
        <f>VLOOKUP(A:A,'1-物料数据'!A:B,2,FALSE)</f>
        <v>宏海牌草鱼配合饲料1602-L40Φ3.0</v>
      </c>
      <c r="C31" s="15" t="s">
        <v>287</v>
      </c>
      <c r="D31" s="14">
        <v>0</v>
      </c>
      <c r="E31" s="14">
        <v>0</v>
      </c>
      <c r="F31" s="14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4">
        <v>1.44</v>
      </c>
      <c r="M31" s="15">
        <v>0</v>
      </c>
      <c r="N31" s="15">
        <v>0</v>
      </c>
      <c r="O31" s="14">
        <v>1</v>
      </c>
      <c r="P31" s="14">
        <v>0.77</v>
      </c>
    </row>
    <row r="32" spans="1:16">
      <c r="A32" s="14">
        <v>5032620</v>
      </c>
      <c r="B32" s="15" t="str">
        <f>VLOOKUP(A:A,'1-物料数据'!A:B,2,FALSE)</f>
        <v>海大牌怀孕母猪配合饲料5G16-L40Φ3.8</v>
      </c>
      <c r="C32" s="15" t="s">
        <v>289</v>
      </c>
      <c r="D32" s="14">
        <v>7.92</v>
      </c>
      <c r="E32" s="14">
        <v>0</v>
      </c>
      <c r="F32" s="14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4">
        <v>11</v>
      </c>
      <c r="M32" s="15">
        <v>24</v>
      </c>
      <c r="N32" s="15">
        <v>0</v>
      </c>
      <c r="O32" s="14">
        <v>3.06</v>
      </c>
      <c r="P32" s="14">
        <v>3.17</v>
      </c>
    </row>
    <row r="33" spans="1:16">
      <c r="A33" s="14">
        <v>5032621</v>
      </c>
      <c r="B33" s="15" t="str">
        <f>VLOOKUP(A:A,'1-物料数据'!A:B,2,FALSE)</f>
        <v>海大牌哺乳母猪配合饲料5G18-L40Φ3.8</v>
      </c>
      <c r="C33" s="15" t="s">
        <v>289</v>
      </c>
      <c r="D33" s="14">
        <v>4.12</v>
      </c>
      <c r="E33" s="14">
        <v>0</v>
      </c>
      <c r="F33" s="14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4">
        <v>5.92</v>
      </c>
      <c r="M33" s="15">
        <v>12</v>
      </c>
      <c r="N33" s="15">
        <v>0</v>
      </c>
      <c r="O33" s="14">
        <v>1.48</v>
      </c>
      <c r="P33" s="14">
        <v>1.56</v>
      </c>
    </row>
    <row r="34" spans="1:16">
      <c r="A34" s="14">
        <v>5036676</v>
      </c>
      <c r="B34" s="15" t="str">
        <f>VLOOKUP(A:A,'1-物料数据'!A:B,2,FALSE)</f>
        <v>海大牌乳猪配合饲料5G11-L40Φ3.0(散装)</v>
      </c>
      <c r="C34" s="15" t="s">
        <v>287</v>
      </c>
      <c r="D34" s="14">
        <v>0</v>
      </c>
      <c r="E34" s="14">
        <v>0</v>
      </c>
      <c r="F34" s="14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4">
        <v>0</v>
      </c>
      <c r="M34" s="15">
        <v>0</v>
      </c>
      <c r="N34" s="15">
        <v>0</v>
      </c>
      <c r="O34" s="14">
        <v>0.57</v>
      </c>
      <c r="P34" s="14">
        <v>0.87</v>
      </c>
    </row>
    <row r="35" spans="1:16">
      <c r="A35" s="14">
        <v>5036677</v>
      </c>
      <c r="B35" s="15" t="str">
        <f>VLOOKUP(A:A,'1-物料数据'!A:B,2,FALSE)</f>
        <v>海大牌小猪配合饲料5G12-L40Φ3.8(散装)</v>
      </c>
      <c r="C35" s="15" t="s">
        <v>287</v>
      </c>
      <c r="D35" s="14">
        <v>0</v>
      </c>
      <c r="E35" s="14">
        <v>0</v>
      </c>
      <c r="F35" s="14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4">
        <v>0.48</v>
      </c>
      <c r="M35" s="15">
        <v>0</v>
      </c>
      <c r="N35" s="15">
        <v>0</v>
      </c>
      <c r="O35" s="14">
        <v>3.03</v>
      </c>
      <c r="P35" s="14">
        <v>1.6</v>
      </c>
    </row>
    <row r="36" spans="1:16">
      <c r="A36" s="14">
        <v>5037473</v>
      </c>
      <c r="B36" s="14" t="s">
        <v>271</v>
      </c>
      <c r="C36" s="15" t="s">
        <v>288</v>
      </c>
      <c r="D36" s="14">
        <v>28.8</v>
      </c>
      <c r="E36" s="14">
        <v>0</v>
      </c>
      <c r="F36" s="14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4">
        <v>73.08</v>
      </c>
      <c r="M36" s="15">
        <v>200</v>
      </c>
      <c r="N36" s="15">
        <v>80</v>
      </c>
      <c r="O36" s="14">
        <v>55.93</v>
      </c>
      <c r="P36" s="14">
        <v>57.47</v>
      </c>
    </row>
    <row r="37" spans="1:16">
      <c r="A37" s="14">
        <v>5037474</v>
      </c>
      <c r="B37" s="14" t="s">
        <v>293</v>
      </c>
      <c r="C37" s="15" t="s">
        <v>289</v>
      </c>
      <c r="D37" s="14">
        <v>0</v>
      </c>
      <c r="E37" s="14">
        <v>0</v>
      </c>
      <c r="F37" s="14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4">
        <v>0</v>
      </c>
      <c r="M37" s="15">
        <v>0</v>
      </c>
      <c r="N37" s="15">
        <v>0</v>
      </c>
      <c r="O37" s="14">
        <v>0</v>
      </c>
      <c r="P37" s="14">
        <v>0</v>
      </c>
    </row>
    <row r="38" spans="1:16">
      <c r="A38" s="14">
        <v>5037904</v>
      </c>
      <c r="B38" s="15" t="str">
        <f>VLOOKUP(A:A,'1-物料数据'!A:B,2,FALSE)</f>
        <v>海大牌蛋鸭配合饲料935A-L40Φ3.8</v>
      </c>
      <c r="C38" s="15" t="s">
        <v>288</v>
      </c>
      <c r="D38" s="14">
        <v>52</v>
      </c>
      <c r="E38" s="14">
        <v>8</v>
      </c>
      <c r="F38" s="14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4">
        <v>76.28</v>
      </c>
      <c r="M38" s="15">
        <v>132</v>
      </c>
      <c r="N38" s="15">
        <v>60</v>
      </c>
      <c r="O38" s="14">
        <v>88.83</v>
      </c>
      <c r="P38" s="14">
        <v>84.49</v>
      </c>
    </row>
    <row r="39" spans="1:16">
      <c r="A39" s="14">
        <v>5040676</v>
      </c>
      <c r="B39" s="15" t="str">
        <f>VLOOKUP(A:A,'1-物料数据'!A:B,2,FALSE)</f>
        <v>海大牌种公猪配合饲料5G19-L40Φ3.8(散装)</v>
      </c>
      <c r="C39" s="15" t="s">
        <v>287</v>
      </c>
      <c r="D39" s="14">
        <v>0</v>
      </c>
      <c r="E39" s="14">
        <v>0</v>
      </c>
      <c r="F39" s="14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4">
        <v>0</v>
      </c>
      <c r="M39" s="15">
        <v>0</v>
      </c>
      <c r="N39" s="15">
        <v>0</v>
      </c>
      <c r="O39" s="14">
        <v>0</v>
      </c>
      <c r="P39" s="14">
        <v>0</v>
      </c>
    </row>
    <row r="40" spans="1:16">
      <c r="A40" s="14">
        <v>5041384</v>
      </c>
      <c r="B40" s="15" t="str">
        <f>VLOOKUP(A:A,'1-物料数据'!A:B,2,FALSE)</f>
        <v>海大牌后备母猪配合饲料(HD05)-L40Φ3.5</v>
      </c>
      <c r="C40" s="15" t="s">
        <v>289</v>
      </c>
      <c r="D40" s="14">
        <v>0</v>
      </c>
      <c r="E40" s="14">
        <v>0</v>
      </c>
      <c r="F40" s="14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4">
        <v>0</v>
      </c>
      <c r="M40" s="15">
        <v>0</v>
      </c>
      <c r="N40" s="15">
        <v>0</v>
      </c>
      <c r="O40" s="14">
        <v>0.2</v>
      </c>
      <c r="P40" s="14">
        <v>0.12</v>
      </c>
    </row>
    <row r="41" spans="1:16">
      <c r="A41" s="14">
        <v>5041385</v>
      </c>
      <c r="B41" s="15" t="str">
        <f>VLOOKUP(A:A,'1-物料数据'!A:B,2,FALSE)</f>
        <v>海大牌怀孕母猪配合饲料(HD06)-L40Φ3.5</v>
      </c>
      <c r="C41" s="15" t="s">
        <v>289</v>
      </c>
      <c r="D41" s="14">
        <v>1.72</v>
      </c>
      <c r="E41" s="14">
        <v>0.2</v>
      </c>
      <c r="F41" s="14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4">
        <v>2</v>
      </c>
      <c r="M41" s="15">
        <v>12</v>
      </c>
      <c r="N41" s="15">
        <v>0</v>
      </c>
      <c r="O41" s="14">
        <v>1.63</v>
      </c>
      <c r="P41" s="14">
        <v>1.15</v>
      </c>
    </row>
    <row r="42" spans="1:16">
      <c r="A42" s="14">
        <v>5041386</v>
      </c>
      <c r="B42" s="15" t="str">
        <f>VLOOKUP(A:A,'1-物料数据'!A:B,2,FALSE)</f>
        <v>海大牌哺乳母猪配合饲料(HD08)-L40Φ3.5</v>
      </c>
      <c r="C42" s="15" t="s">
        <v>289</v>
      </c>
      <c r="D42" s="14">
        <v>1.12</v>
      </c>
      <c r="E42" s="14">
        <v>0.12</v>
      </c>
      <c r="F42" s="14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4">
        <v>5.6</v>
      </c>
      <c r="M42" s="15">
        <v>8</v>
      </c>
      <c r="N42" s="15">
        <v>0</v>
      </c>
      <c r="O42" s="14">
        <v>0.39</v>
      </c>
      <c r="P42" s="14">
        <v>0.39</v>
      </c>
    </row>
    <row r="43" spans="1:16">
      <c r="A43" s="14">
        <v>5042789</v>
      </c>
      <c r="B43" s="15" t="str">
        <f>VLOOKUP(A:A,'1-物料数据'!A:B,2,FALSE)</f>
        <v>鑫生益牌蛋鸭配合饲料506H-L40Φ3.8</v>
      </c>
      <c r="C43" s="15" t="s">
        <v>289</v>
      </c>
      <c r="D43" s="14">
        <v>6</v>
      </c>
      <c r="E43" s="14">
        <v>0</v>
      </c>
      <c r="F43" s="14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4">
        <v>38.88</v>
      </c>
      <c r="M43" s="15">
        <v>0</v>
      </c>
      <c r="N43" s="15">
        <v>0</v>
      </c>
      <c r="O43" s="14">
        <v>1.71</v>
      </c>
      <c r="P43" s="14">
        <v>4.67</v>
      </c>
    </row>
    <row r="44" spans="1:16">
      <c r="A44" s="14">
        <v>5043653</v>
      </c>
      <c r="B44" s="15" t="str">
        <f>VLOOKUP(A:A,'1-物料数据'!A:B,2,FALSE)</f>
        <v>海大牌乳猪配合饲料(保育前期料HD01)L40Φ3.5</v>
      </c>
      <c r="C44" s="15" t="s">
        <v>289</v>
      </c>
      <c r="D44" s="14">
        <v>1.76</v>
      </c>
      <c r="E44" s="14">
        <v>0.72</v>
      </c>
      <c r="F44" s="14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4">
        <v>10.84</v>
      </c>
      <c r="M44" s="15">
        <v>12</v>
      </c>
      <c r="N44" s="15">
        <v>0</v>
      </c>
      <c r="O44" s="14">
        <v>1.46</v>
      </c>
      <c r="P44" s="14">
        <v>1.59</v>
      </c>
    </row>
    <row r="45" spans="1:16">
      <c r="A45" s="14">
        <v>5043654</v>
      </c>
      <c r="B45" s="15" t="str">
        <f>VLOOKUP(A:A,'1-物料数据'!A:B,2,FALSE)</f>
        <v>海大牌小猪配合饲料(HD02)L40Φ3.5</v>
      </c>
      <c r="C45" s="15" t="s">
        <v>288</v>
      </c>
      <c r="D45" s="14">
        <v>4</v>
      </c>
      <c r="E45" s="14">
        <v>10.72</v>
      </c>
      <c r="F45" s="14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4">
        <v>24.04</v>
      </c>
      <c r="M45" s="15">
        <v>58</v>
      </c>
      <c r="N45" s="15">
        <v>24</v>
      </c>
      <c r="O45" s="14">
        <v>14.18</v>
      </c>
      <c r="P45" s="14">
        <v>10.77</v>
      </c>
    </row>
    <row r="46" spans="1:16">
      <c r="A46" s="14">
        <v>5044594</v>
      </c>
      <c r="B46" s="15" t="str">
        <f>VLOOKUP(A:A,'1-物料数据'!A:B,2,FALSE)</f>
        <v>海恒牌罗非鱼配合饲料渔高丰912-L40Φ3.0</v>
      </c>
      <c r="C46" s="15" t="s">
        <v>287</v>
      </c>
      <c r="D46" s="14">
        <v>0</v>
      </c>
      <c r="E46" s="14">
        <v>0</v>
      </c>
      <c r="F46" s="14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4">
        <v>3.48</v>
      </c>
      <c r="M46" s="15">
        <v>0</v>
      </c>
      <c r="N46" s="15">
        <v>0</v>
      </c>
      <c r="O46" s="14">
        <v>0.7</v>
      </c>
      <c r="P46" s="14">
        <v>0.51</v>
      </c>
    </row>
    <row r="47" spans="1:16">
      <c r="A47" s="14">
        <v>5044597</v>
      </c>
      <c r="B47" s="15" t="str">
        <f>VLOOKUP(A:A,'1-物料数据'!A:B,2,FALSE)</f>
        <v>海恒牌鲮鱼配合饲料渔高丰1号-L40Φ3.0</v>
      </c>
      <c r="C47" s="15" t="s">
        <v>287</v>
      </c>
      <c r="D47" s="14">
        <v>0</v>
      </c>
      <c r="E47" s="14">
        <v>0</v>
      </c>
      <c r="F47" s="14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4">
        <v>1.12</v>
      </c>
      <c r="M47" s="15">
        <v>0</v>
      </c>
      <c r="N47" s="15">
        <v>0</v>
      </c>
      <c r="O47" s="14">
        <v>1.06</v>
      </c>
      <c r="P47" s="14">
        <v>0.7</v>
      </c>
    </row>
    <row r="48" spans="1:16">
      <c r="A48" s="14">
        <v>5044599</v>
      </c>
      <c r="B48" s="15" t="str">
        <f>VLOOKUP(A:A,'1-物料数据'!A:B,2,FALSE)</f>
        <v>海恒牌鲮鱼配合饲料渔高丰3号-L40Φ3.0</v>
      </c>
      <c r="C48" s="15" t="s">
        <v>287</v>
      </c>
      <c r="D48" s="14">
        <v>0</v>
      </c>
      <c r="E48" s="14">
        <v>0</v>
      </c>
      <c r="F48" s="14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4">
        <v>0</v>
      </c>
      <c r="M48" s="15">
        <v>0</v>
      </c>
      <c r="N48" s="15">
        <v>0</v>
      </c>
      <c r="O48" s="14">
        <v>0</v>
      </c>
      <c r="P48" s="14">
        <v>0</v>
      </c>
    </row>
    <row r="49" spans="1:16">
      <c r="A49" s="14">
        <v>5046757</v>
      </c>
      <c r="B49" s="15" t="str">
        <f>VLOOKUP(A:A,'1-物料数据'!A:B,2,FALSE)</f>
        <v>海大牌仔猪配合饲料(A820)L40Φ3.5(散装)</v>
      </c>
      <c r="C49" s="15" t="s">
        <v>287</v>
      </c>
      <c r="D49" s="14">
        <v>0</v>
      </c>
      <c r="E49" s="14">
        <v>0</v>
      </c>
      <c r="F49" s="14">
        <v>16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4">
        <v>2.23</v>
      </c>
      <c r="M49" s="15">
        <v>0</v>
      </c>
      <c r="N49" s="15">
        <v>0</v>
      </c>
      <c r="O49" s="14">
        <v>3.69</v>
      </c>
      <c r="P49" s="14">
        <v>3.49</v>
      </c>
    </row>
    <row r="50" spans="1:16">
      <c r="A50" s="14">
        <v>5047563</v>
      </c>
      <c r="B50" s="15" t="str">
        <f>VLOOKUP(A:A,'1-物料数据'!A:B,2,FALSE)</f>
        <v>海大牌大猪配合饲料(HD03)-L40Φ3.8</v>
      </c>
      <c r="C50" s="15" t="s">
        <v>289</v>
      </c>
      <c r="D50" s="14">
        <v>1.6</v>
      </c>
      <c r="E50" s="14">
        <v>0</v>
      </c>
      <c r="F50" s="14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4">
        <v>13.64</v>
      </c>
      <c r="M50" s="15">
        <v>12</v>
      </c>
      <c r="N50" s="15">
        <v>0</v>
      </c>
      <c r="O50" s="14">
        <v>1.97</v>
      </c>
      <c r="P50" s="14">
        <v>2.1</v>
      </c>
    </row>
    <row r="51" spans="1:16">
      <c r="A51" s="14">
        <v>5050206</v>
      </c>
      <c r="B51" s="15" t="str">
        <f>VLOOKUP(A:A,'1-物料数据'!A:B,2,FALSE)</f>
        <v>海大牌蛋鸭配合饲料822B-L40Φ3.8</v>
      </c>
      <c r="C51" s="15" t="s">
        <v>288</v>
      </c>
      <c r="D51" s="14">
        <v>12</v>
      </c>
      <c r="E51" s="14">
        <v>8</v>
      </c>
      <c r="F51" s="14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4">
        <v>26.84</v>
      </c>
      <c r="M51" s="15">
        <v>55</v>
      </c>
      <c r="N51" s="15">
        <v>33</v>
      </c>
      <c r="O51" s="14">
        <v>6.14</v>
      </c>
      <c r="P51" s="14">
        <v>9.83</v>
      </c>
    </row>
    <row r="52" spans="1:16">
      <c r="A52" s="14">
        <v>5052936</v>
      </c>
      <c r="B52" s="15" t="str">
        <f>VLOOKUP(A:A,'1-物料数据'!A:B,2,FALSE)</f>
        <v>海大牌后备母猪配合饲料(HD05)-L40Φ3.5(散)</v>
      </c>
      <c r="C52" s="15" t="s">
        <v>287</v>
      </c>
      <c r="D52" s="14">
        <v>0</v>
      </c>
      <c r="E52" s="14">
        <v>0</v>
      </c>
      <c r="F52" s="14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4">
        <v>0</v>
      </c>
      <c r="M52" s="15">
        <v>0</v>
      </c>
      <c r="N52" s="15">
        <v>0</v>
      </c>
      <c r="O52" s="14">
        <v>0</v>
      </c>
      <c r="P52" s="14">
        <v>0</v>
      </c>
    </row>
    <row r="53" spans="1:16">
      <c r="A53" s="14">
        <v>5053400</v>
      </c>
      <c r="B53" s="15" t="str">
        <f>VLOOKUP(A:A,'1-物料数据'!A:B,2,FALSE)</f>
        <v>乳猪配合饲料911-L40Φ2.5(散装)</v>
      </c>
      <c r="C53" s="15" t="s">
        <v>287</v>
      </c>
      <c r="D53" s="14">
        <v>0</v>
      </c>
      <c r="E53" s="14">
        <v>0</v>
      </c>
      <c r="F53" s="14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4">
        <v>0</v>
      </c>
      <c r="M53" s="15">
        <v>0</v>
      </c>
      <c r="N53" s="15">
        <v>0</v>
      </c>
      <c r="O53" s="14">
        <v>0</v>
      </c>
      <c r="P53" s="14">
        <v>0</v>
      </c>
    </row>
    <row r="54" spans="1:16">
      <c r="A54" s="14">
        <v>5053616</v>
      </c>
      <c r="B54" s="15" t="str">
        <f>VLOOKUP(A:A,'1-物料数据'!A:B,2,FALSE)</f>
        <v>乳猪配合饲料(乳猪旺)911T-L40Φ2.5(散装)</v>
      </c>
      <c r="C54" s="15" t="s">
        <v>287</v>
      </c>
      <c r="D54" s="14">
        <v>0</v>
      </c>
      <c r="E54" s="14">
        <v>0</v>
      </c>
      <c r="F54" s="14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4">
        <v>0</v>
      </c>
      <c r="M54" s="15">
        <v>0</v>
      </c>
      <c r="N54" s="15">
        <v>0</v>
      </c>
      <c r="O54" s="14">
        <v>0</v>
      </c>
      <c r="P54" s="14">
        <v>0</v>
      </c>
    </row>
    <row r="55" spans="1:16">
      <c r="A55" s="14">
        <v>5057827</v>
      </c>
      <c r="B55" s="15" t="str">
        <f>VLOOKUP(A:A,'1-物料数据'!A:B,2,FALSE)</f>
        <v>海大牌鲮鱼配合饲料鲮鱼专用料1号-L40Φ3.0</v>
      </c>
      <c r="C55" s="15" t="s">
        <v>287</v>
      </c>
      <c r="D55" s="14">
        <v>0</v>
      </c>
      <c r="E55" s="14">
        <v>0</v>
      </c>
      <c r="F55" s="14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4">
        <v>37.2</v>
      </c>
      <c r="M55" s="15">
        <v>0</v>
      </c>
      <c r="N55" s="15">
        <v>0</v>
      </c>
      <c r="O55" s="14">
        <v>2.94</v>
      </c>
      <c r="P55" s="14">
        <v>2.35</v>
      </c>
    </row>
    <row r="56" spans="1:16">
      <c r="A56" s="14">
        <v>5058522</v>
      </c>
      <c r="B56" s="15" t="str">
        <f>VLOOKUP(A:A,'1-物料数据'!A:B,2,FALSE)</f>
        <v>海大牌哺乳母猪配合饲料(HD08D)-L40Φ3.5(散)</v>
      </c>
      <c r="C56" s="15" t="s">
        <v>287</v>
      </c>
      <c r="D56" s="14">
        <v>0</v>
      </c>
      <c r="E56" s="14">
        <v>0</v>
      </c>
      <c r="F56" s="14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4">
        <v>0.72</v>
      </c>
      <c r="M56" s="15">
        <v>0</v>
      </c>
      <c r="N56" s="15">
        <v>0</v>
      </c>
      <c r="O56" s="14">
        <v>2.96</v>
      </c>
      <c r="P56" s="14">
        <v>2.06</v>
      </c>
    </row>
    <row r="57" spans="1:16">
      <c r="A57" s="14">
        <v>5058523</v>
      </c>
      <c r="B57" s="15" t="str">
        <f>VLOOKUP(A:A,'1-物料数据'!A:B,2,FALSE)</f>
        <v>海大牌怀孕母猪配合饲料(HD06D)-L40Φ3.5(散)</v>
      </c>
      <c r="C57" s="15" t="s">
        <v>287</v>
      </c>
      <c r="D57" s="14">
        <v>16</v>
      </c>
      <c r="E57" s="14">
        <v>0</v>
      </c>
      <c r="F57" s="14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4">
        <v>0.98</v>
      </c>
      <c r="M57" s="15">
        <v>0</v>
      </c>
      <c r="N57" s="15">
        <v>0</v>
      </c>
      <c r="O57" s="14">
        <v>2.15</v>
      </c>
      <c r="P57" s="14">
        <v>3.95</v>
      </c>
    </row>
    <row r="58" spans="1:16">
      <c r="A58" s="14">
        <v>5059154</v>
      </c>
      <c r="B58" s="15" t="str">
        <f>VLOOKUP(A:A,'1-物料数据'!A:B,2,FALSE)</f>
        <v>海大牌后备母猪配合饲料(HD05D)-L40Φ3.5(散)</v>
      </c>
      <c r="C58" s="15" t="s">
        <v>287</v>
      </c>
      <c r="D58" s="14">
        <v>16</v>
      </c>
      <c r="E58" s="14">
        <v>0</v>
      </c>
      <c r="F58" s="14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4">
        <v>0</v>
      </c>
      <c r="M58" s="15">
        <v>0</v>
      </c>
      <c r="N58" s="15">
        <v>0</v>
      </c>
      <c r="O58" s="14">
        <v>5.16</v>
      </c>
      <c r="P58" s="14">
        <v>1.2</v>
      </c>
    </row>
    <row r="59" spans="1:16">
      <c r="A59" s="14">
        <v>5064280</v>
      </c>
      <c r="B59" s="15" t="str">
        <f>VLOOKUP(A:A,'1-物料数据'!A:B,2,FALSE)</f>
        <v>海大牌后备母猪配合饲料HD07D-L40Φ3.8(散装)</v>
      </c>
      <c r="C59" s="15" t="s">
        <v>287</v>
      </c>
      <c r="D59" s="14">
        <v>0</v>
      </c>
      <c r="E59" s="14">
        <v>0</v>
      </c>
      <c r="F59" s="14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4">
        <v>0</v>
      </c>
      <c r="M59" s="15">
        <v>0</v>
      </c>
      <c r="N59" s="15">
        <v>0</v>
      </c>
      <c r="O59" s="14">
        <v>0.59</v>
      </c>
      <c r="P59" s="14">
        <v>0.7</v>
      </c>
    </row>
    <row r="60" spans="1:16">
      <c r="A60" s="14">
        <v>5064557</v>
      </c>
      <c r="B60" s="15" t="str">
        <f>VLOOKUP(A:A,'1-物料数据'!A:B,2,FALSE)</f>
        <v>海大牌小猪配合饲料532-L40Φ3.8</v>
      </c>
      <c r="C60" s="15" t="s">
        <v>288</v>
      </c>
      <c r="D60" s="14">
        <v>8.2</v>
      </c>
      <c r="E60" s="14">
        <v>0</v>
      </c>
      <c r="F60" s="14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4">
        <v>10.08</v>
      </c>
      <c r="M60" s="15">
        <v>52</v>
      </c>
      <c r="N60" s="15">
        <v>20</v>
      </c>
      <c r="O60" s="14">
        <v>10.4</v>
      </c>
      <c r="P60" s="14">
        <v>9</v>
      </c>
    </row>
    <row r="61" spans="1:16">
      <c r="A61" s="14">
        <v>5075019</v>
      </c>
      <c r="B61" s="15" t="str">
        <f>VLOOKUP(A:A,'1-物料数据'!A:B,2,FALSE)</f>
        <v>海大牌小猪配合饲料582-L40Φ3.8</v>
      </c>
      <c r="C61" s="15" t="s">
        <v>288</v>
      </c>
      <c r="D61" s="14">
        <v>19.04</v>
      </c>
      <c r="E61" s="14">
        <v>0</v>
      </c>
      <c r="F61" s="14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4">
        <v>13.24</v>
      </c>
      <c r="M61" s="15">
        <v>30</v>
      </c>
      <c r="N61" s="15">
        <v>15</v>
      </c>
      <c r="O61" s="14">
        <v>7.6</v>
      </c>
      <c r="P61" s="14">
        <v>8.68</v>
      </c>
    </row>
    <row r="62" spans="1:16">
      <c r="A62" s="14">
        <v>5078546</v>
      </c>
      <c r="B62" s="15" t="str">
        <f>VLOOKUP(A:A,'1-物料数据'!A:B,2,FALSE)</f>
        <v>海大牌大猪配合饲料316-L40Φ3.8(散装)</v>
      </c>
      <c r="C62" s="15" t="s">
        <v>287</v>
      </c>
      <c r="D62" s="14">
        <v>30</v>
      </c>
      <c r="E62" s="14">
        <v>16</v>
      </c>
      <c r="F62" s="14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4">
        <v>15.87</v>
      </c>
      <c r="M62" s="15">
        <v>0</v>
      </c>
      <c r="N62" s="15">
        <v>0</v>
      </c>
      <c r="O62" s="14">
        <v>4.84</v>
      </c>
      <c r="P62" s="14">
        <v>5.04</v>
      </c>
    </row>
    <row r="63" spans="1:16">
      <c r="A63" s="14">
        <v>5078548</v>
      </c>
      <c r="B63" s="15" t="str">
        <f>VLOOKUP(A:A,'1-物料数据'!A:B,2,FALSE)</f>
        <v>海大牌小猪配合饲料302-L40Φ3.8(散装)</v>
      </c>
      <c r="C63" s="15" t="s">
        <v>287</v>
      </c>
      <c r="D63" s="14">
        <v>0</v>
      </c>
      <c r="E63" s="14">
        <v>0</v>
      </c>
      <c r="F63" s="14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4">
        <v>0</v>
      </c>
      <c r="M63" s="15">
        <v>0</v>
      </c>
      <c r="N63" s="15">
        <v>0</v>
      </c>
      <c r="O63" s="14">
        <v>0</v>
      </c>
      <c r="P63" s="14">
        <v>0</v>
      </c>
    </row>
    <row r="64" spans="1:16">
      <c r="A64" s="14">
        <v>5078550</v>
      </c>
      <c r="B64" s="15" t="str">
        <f>VLOOKUP(A:A,'1-物料数据'!A:B,2,FALSE)</f>
        <v>海大牌中猪配合饲料303-L40Φ3.8(散装)</v>
      </c>
      <c r="C64" s="15" t="s">
        <v>287</v>
      </c>
      <c r="D64" s="14">
        <v>0</v>
      </c>
      <c r="E64" s="14">
        <v>0</v>
      </c>
      <c r="F64" s="14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4">
        <v>0</v>
      </c>
      <c r="M64" s="15">
        <v>0</v>
      </c>
      <c r="N64" s="15">
        <v>0</v>
      </c>
      <c r="O64" s="14">
        <v>0</v>
      </c>
      <c r="P64" s="14">
        <v>0</v>
      </c>
    </row>
    <row r="65" spans="1:16">
      <c r="A65" s="14">
        <v>5078622</v>
      </c>
      <c r="B65" s="15" t="str">
        <f>VLOOKUP(A:A,'1-物料数据'!A:B,2,FALSE)</f>
        <v>海大牌大猪配合饲料306-L40Φ3.8(散装)</v>
      </c>
      <c r="C65" s="15" t="s">
        <v>287</v>
      </c>
      <c r="D65" s="14">
        <v>0</v>
      </c>
      <c r="E65" s="14">
        <v>0</v>
      </c>
      <c r="F65" s="14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4">
        <v>0.83</v>
      </c>
      <c r="M65" s="15">
        <v>0</v>
      </c>
      <c r="N65" s="15">
        <v>0</v>
      </c>
      <c r="O65" s="14">
        <v>2.15</v>
      </c>
      <c r="P65" s="14">
        <v>3.14</v>
      </c>
    </row>
    <row r="66" spans="1:16">
      <c r="A66" s="14">
        <v>5081744</v>
      </c>
      <c r="B66" s="15" t="str">
        <f>VLOOKUP(A:A,'1-物料数据'!A:B,2,FALSE)</f>
        <v>海大牌小鸡配合饲料511A-1P40Φ1P</v>
      </c>
      <c r="C66" s="15" t="s">
        <v>287</v>
      </c>
      <c r="D66" s="14">
        <v>0</v>
      </c>
      <c r="E66" s="14">
        <v>0</v>
      </c>
      <c r="F66" s="14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4">
        <v>9.04</v>
      </c>
      <c r="M66" s="15">
        <v>0</v>
      </c>
      <c r="N66" s="15">
        <v>0</v>
      </c>
      <c r="O66" s="14">
        <v>3.77</v>
      </c>
      <c r="P66" s="14">
        <v>4.89</v>
      </c>
    </row>
    <row r="67" spans="1:16">
      <c r="A67" s="14">
        <v>5081906</v>
      </c>
      <c r="B67" s="15" t="str">
        <f>VLOOKUP(A:A,'1-物料数据'!A:B,2,FALSE)</f>
        <v>海大牌怀孕母猪配合饲料816-L40Φ3.8(散装)</v>
      </c>
      <c r="C67" s="15" t="s">
        <v>287</v>
      </c>
      <c r="D67" s="14">
        <v>4</v>
      </c>
      <c r="E67" s="14">
        <v>0</v>
      </c>
      <c r="F67" s="14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4">
        <v>0</v>
      </c>
      <c r="M67" s="15">
        <v>0</v>
      </c>
      <c r="N67" s="15">
        <v>0</v>
      </c>
      <c r="O67" s="14">
        <v>1.16</v>
      </c>
      <c r="P67" s="14">
        <v>1.06</v>
      </c>
    </row>
    <row r="68" spans="1:16">
      <c r="A68" s="14">
        <v>5081907</v>
      </c>
      <c r="B68" s="15" t="str">
        <f>VLOOKUP(A:A,'1-物料数据'!A:B,2,FALSE)</f>
        <v>海大牌哺乳母猪配合饲料818-L40Φ3.8(散装)</v>
      </c>
      <c r="C68" s="15" t="s">
        <v>287</v>
      </c>
      <c r="D68" s="14">
        <v>0</v>
      </c>
      <c r="E68" s="14">
        <v>4</v>
      </c>
      <c r="F68" s="14">
        <v>4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4">
        <v>0</v>
      </c>
      <c r="M68" s="15">
        <v>0</v>
      </c>
      <c r="N68" s="15">
        <v>0</v>
      </c>
      <c r="O68" s="14">
        <v>0.58</v>
      </c>
      <c r="P68" s="14">
        <v>0.53</v>
      </c>
    </row>
    <row r="69" spans="1:16">
      <c r="A69" s="14">
        <v>5082198</v>
      </c>
      <c r="B69" s="15" t="str">
        <f>VLOOKUP(A:A,'1-物料数据'!A:B,2,FALSE)</f>
        <v>海大牌大鸡配合饲料513S-L40Φ3.5</v>
      </c>
      <c r="C69" s="15" t="s">
        <v>287</v>
      </c>
      <c r="D69" s="14">
        <v>0</v>
      </c>
      <c r="E69" s="14">
        <v>0</v>
      </c>
      <c r="F69" s="14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4">
        <v>39.84</v>
      </c>
      <c r="M69" s="15">
        <v>0</v>
      </c>
      <c r="N69" s="15">
        <v>0</v>
      </c>
      <c r="O69" s="14">
        <v>8.91</v>
      </c>
      <c r="P69" s="14">
        <v>5.79</v>
      </c>
    </row>
    <row r="70" spans="1:16">
      <c r="A70" s="14">
        <v>5082199</v>
      </c>
      <c r="B70" s="15" t="str">
        <f>VLOOKUP(A:A,'1-物料数据'!A:B,2,FALSE)</f>
        <v>海大牌中鸡配合饲料512S-L40Φ2.5</v>
      </c>
      <c r="C70" s="15" t="s">
        <v>287</v>
      </c>
      <c r="D70" s="14">
        <v>0</v>
      </c>
      <c r="E70" s="14">
        <v>0</v>
      </c>
      <c r="F70" s="14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4">
        <v>0.96</v>
      </c>
      <c r="M70" s="15">
        <v>0</v>
      </c>
      <c r="N70" s="15">
        <v>0</v>
      </c>
      <c r="O70" s="14">
        <v>10.4</v>
      </c>
      <c r="P70" s="14">
        <v>10.2</v>
      </c>
    </row>
    <row r="71" spans="1:16">
      <c r="A71" s="14">
        <v>5082200</v>
      </c>
      <c r="B71" s="15" t="str">
        <f>VLOOKUP(A:A,'1-物料数据'!A:B,2,FALSE)</f>
        <v>海大牌小鸡配合饲料511S-1P40Φ1P</v>
      </c>
      <c r="C71" s="15" t="s">
        <v>287</v>
      </c>
      <c r="D71" s="14">
        <v>0</v>
      </c>
      <c r="E71" s="14">
        <v>0</v>
      </c>
      <c r="F71" s="14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4">
        <v>11.2</v>
      </c>
      <c r="M71" s="15">
        <v>0</v>
      </c>
      <c r="N71" s="15">
        <v>0</v>
      </c>
      <c r="O71" s="14">
        <v>2.74</v>
      </c>
      <c r="P71" s="14">
        <v>3.04</v>
      </c>
    </row>
    <row r="72" spans="1:16">
      <c r="A72" s="14">
        <v>5082211</v>
      </c>
      <c r="B72" s="15" t="str">
        <f>VLOOKUP(A:A,'1-物料数据'!A:B,2,FALSE)</f>
        <v>海大牌小鸡配合饲料201-1P40Φ1P</v>
      </c>
      <c r="C72" s="15" t="s">
        <v>287</v>
      </c>
      <c r="D72" s="14">
        <v>1</v>
      </c>
      <c r="E72" s="14">
        <v>0.4</v>
      </c>
      <c r="F72" s="14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4">
        <v>3.56</v>
      </c>
      <c r="M72" s="15">
        <v>0</v>
      </c>
      <c r="N72" s="15">
        <v>0</v>
      </c>
      <c r="O72" s="14">
        <v>6.59</v>
      </c>
      <c r="P72" s="14">
        <v>5.71</v>
      </c>
    </row>
    <row r="73" spans="1:16">
      <c r="A73" s="14">
        <v>5082212</v>
      </c>
      <c r="B73" s="15" t="str">
        <f>VLOOKUP(A:A,'1-物料数据'!A:B,2,FALSE)</f>
        <v>海大牌中鸡配合饲料202-L40Φ2.5</v>
      </c>
      <c r="C73" s="15" t="s">
        <v>287</v>
      </c>
      <c r="D73" s="14">
        <v>0</v>
      </c>
      <c r="E73" s="14">
        <v>0</v>
      </c>
      <c r="F73" s="14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4">
        <v>43</v>
      </c>
      <c r="M73" s="15">
        <v>0</v>
      </c>
      <c r="N73" s="15">
        <v>0</v>
      </c>
      <c r="O73" s="14">
        <v>11.58</v>
      </c>
      <c r="P73" s="14">
        <v>9.52</v>
      </c>
    </row>
    <row r="74" spans="1:16">
      <c r="A74" s="14">
        <v>5082213</v>
      </c>
      <c r="B74" s="15" t="str">
        <f>VLOOKUP(A:A,'1-物料数据'!A:B,2,FALSE)</f>
        <v>海大牌大鸡配合饲料203-L40Φ3.5</v>
      </c>
      <c r="C74" s="15" t="s">
        <v>287</v>
      </c>
      <c r="D74" s="14">
        <v>12</v>
      </c>
      <c r="E74" s="14">
        <v>0</v>
      </c>
      <c r="F74" s="14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4">
        <v>170.96</v>
      </c>
      <c r="M74" s="15">
        <v>0</v>
      </c>
      <c r="N74" s="15">
        <v>0</v>
      </c>
      <c r="O74" s="14">
        <v>15.66</v>
      </c>
      <c r="P74" s="14">
        <v>11.54</v>
      </c>
    </row>
    <row r="75" spans="1:16">
      <c r="A75" s="14">
        <v>5082214</v>
      </c>
      <c r="B75" s="15" t="str">
        <f>VLOOKUP(A:A,'1-物料数据'!A:B,2,FALSE)</f>
        <v>海大牌肥鸡配合饲料213-L40Φ3.5</v>
      </c>
      <c r="C75" s="15" t="s">
        <v>287</v>
      </c>
      <c r="D75" s="14">
        <v>0</v>
      </c>
      <c r="E75" s="14">
        <v>0</v>
      </c>
      <c r="F75" s="14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4">
        <v>13.52</v>
      </c>
      <c r="M75" s="15">
        <v>0</v>
      </c>
      <c r="N75" s="15">
        <v>0</v>
      </c>
      <c r="O75" s="14">
        <v>6.86</v>
      </c>
      <c r="P75" s="14">
        <v>3.76</v>
      </c>
    </row>
    <row r="76" spans="1:16">
      <c r="A76" s="14">
        <v>5085669</v>
      </c>
      <c r="B76" s="15" t="str">
        <f>VLOOKUP(A:A,'1-物料数据'!A:B,2,FALSE)</f>
        <v>海大牌大鸡配合饲料503S-L40Φ3.5</v>
      </c>
      <c r="C76" s="15" t="s">
        <v>287</v>
      </c>
      <c r="D76" s="14">
        <v>0</v>
      </c>
      <c r="E76" s="14">
        <v>0</v>
      </c>
      <c r="F76" s="14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4">
        <v>32.76</v>
      </c>
      <c r="M76" s="15">
        <v>0</v>
      </c>
      <c r="N76" s="15">
        <v>0</v>
      </c>
      <c r="O76" s="14">
        <v>4.09</v>
      </c>
      <c r="P76" s="14">
        <v>6.79</v>
      </c>
    </row>
    <row r="77" spans="1:16">
      <c r="A77" s="14">
        <v>5086810</v>
      </c>
      <c r="B77" s="15" t="str">
        <f>VLOOKUP(A:A,'1-物料数据'!A:B,2,FALSE)</f>
        <v>海大牌中鸡配合饲料212-L40Φ2.5</v>
      </c>
      <c r="C77" s="15" t="s">
        <v>287</v>
      </c>
      <c r="D77" s="14">
        <v>0</v>
      </c>
      <c r="E77" s="14">
        <v>0</v>
      </c>
      <c r="F77" s="14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4">
        <v>0</v>
      </c>
      <c r="M77" s="15">
        <v>0</v>
      </c>
      <c r="N77" s="15">
        <v>0</v>
      </c>
      <c r="O77" s="14">
        <v>1.14</v>
      </c>
      <c r="P77" s="14">
        <v>2.91</v>
      </c>
    </row>
    <row r="78" spans="1:16">
      <c r="A78" s="14">
        <v>5086962</v>
      </c>
      <c r="B78" s="15" t="str">
        <f>VLOOKUP(A:A,'1-物料数据'!A:B,2,FALSE)</f>
        <v>海大牌大鸡配合饲料263-L40Φ3.5</v>
      </c>
      <c r="C78" s="15" t="s">
        <v>287</v>
      </c>
      <c r="D78" s="14">
        <v>0</v>
      </c>
      <c r="E78" s="14">
        <v>0</v>
      </c>
      <c r="F78" s="14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4">
        <v>0</v>
      </c>
      <c r="M78" s="15">
        <v>0</v>
      </c>
      <c r="N78" s="15">
        <v>0</v>
      </c>
      <c r="O78" s="14">
        <v>0</v>
      </c>
      <c r="P78" s="14">
        <v>1.14</v>
      </c>
    </row>
    <row r="79" spans="1:16">
      <c r="A79" s="14">
        <v>5089437</v>
      </c>
      <c r="B79" s="15" t="str">
        <f>VLOOKUP(A:A,'1-物料数据'!A:B,2,FALSE)</f>
        <v>海大牌鱼用配合饲料905-L40Φ3.0</v>
      </c>
      <c r="C79" s="15" t="s">
        <v>287</v>
      </c>
      <c r="D79" s="14">
        <v>0</v>
      </c>
      <c r="E79" s="14">
        <v>0</v>
      </c>
      <c r="F79" s="14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4">
        <v>5.76</v>
      </c>
      <c r="M79" s="15">
        <v>0</v>
      </c>
      <c r="N79" s="15">
        <v>0</v>
      </c>
      <c r="O79" s="14">
        <v>0.43</v>
      </c>
      <c r="P79" s="14">
        <v>0.41</v>
      </c>
    </row>
    <row r="80" spans="1:16">
      <c r="A80" s="14">
        <v>5089438</v>
      </c>
      <c r="B80" s="15" t="str">
        <f>VLOOKUP(A:A,'1-物料数据'!A:B,2,FALSE)</f>
        <v>宏海牌草鱼配合饲料1602-1P40Φ1P</v>
      </c>
      <c r="C80" s="15" t="s">
        <v>287</v>
      </c>
      <c r="D80" s="14">
        <v>0</v>
      </c>
      <c r="E80" s="14">
        <v>0</v>
      </c>
      <c r="F80" s="14">
        <v>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4">
        <v>13.08</v>
      </c>
      <c r="M80" s="15">
        <v>0</v>
      </c>
      <c r="N80" s="15">
        <v>0</v>
      </c>
      <c r="O80" s="14">
        <v>0.29</v>
      </c>
      <c r="P80" s="14">
        <v>0.65</v>
      </c>
    </row>
    <row r="81" spans="1:16">
      <c r="A81" s="14">
        <v>5089676</v>
      </c>
      <c r="B81" s="15" t="str">
        <f>VLOOKUP(A:A,'1-物料数据'!A:B,2,FALSE)</f>
        <v>海大牌大猪配合饲料二育王-L(散装)Φ3.8</v>
      </c>
      <c r="C81" s="15" t="s">
        <v>287</v>
      </c>
      <c r="D81" s="14">
        <v>46</v>
      </c>
      <c r="E81" s="14">
        <v>0</v>
      </c>
      <c r="F81" s="14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4">
        <v>15.6</v>
      </c>
      <c r="M81" s="15">
        <v>0</v>
      </c>
      <c r="N81" s="15">
        <v>0</v>
      </c>
      <c r="O81" s="14">
        <v>27</v>
      </c>
      <c r="P81" s="14">
        <v>26.1</v>
      </c>
    </row>
    <row r="82" spans="1:16">
      <c r="A82" s="14">
        <v>5096095</v>
      </c>
      <c r="B82" s="15" t="str">
        <f>VLOOKUP(A:A,'1-物料数据'!A:B,2,FALSE)</f>
        <v>海大牌蛋鸭配合饲料隆隆金-L(散装)Φ3.8</v>
      </c>
      <c r="C82" s="15" t="s">
        <v>289</v>
      </c>
      <c r="D82" s="14">
        <v>0</v>
      </c>
      <c r="E82" s="14">
        <v>0</v>
      </c>
      <c r="F82" s="14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4">
        <v>0</v>
      </c>
      <c r="M82" s="15">
        <v>0</v>
      </c>
      <c r="N82" s="15">
        <v>0</v>
      </c>
      <c r="O82" s="14">
        <v>0</v>
      </c>
      <c r="P82" s="14">
        <v>0</v>
      </c>
    </row>
    <row r="83" spans="1:16">
      <c r="A83" s="14">
        <v>5096212</v>
      </c>
      <c r="B83" s="15" t="str">
        <f>VLOOKUP(A:A,'1-物料数据'!A:B,2,FALSE)</f>
        <v>海大牌肥鸭配合饲料大农场专用料-L40Φ3.8</v>
      </c>
      <c r="C83" s="15" t="s">
        <v>289</v>
      </c>
      <c r="D83" s="14">
        <v>12</v>
      </c>
      <c r="E83" s="14">
        <v>0</v>
      </c>
      <c r="F83" s="14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4">
        <v>58.8</v>
      </c>
      <c r="M83" s="15">
        <v>32</v>
      </c>
      <c r="N83" s="15">
        <v>0</v>
      </c>
      <c r="O83" s="14">
        <v>31.29</v>
      </c>
      <c r="P83" s="14">
        <v>27.67</v>
      </c>
    </row>
    <row r="84" spans="1:16">
      <c r="A84" s="14">
        <v>5098659</v>
      </c>
      <c r="B84" s="15" t="str">
        <f>VLOOKUP(A:A,'1-物料数据'!A:B,2,FALSE)</f>
        <v>海恒牌蛋鸭配合饲料613A-L40Φ3.8</v>
      </c>
      <c r="C84" s="15" t="s">
        <v>290</v>
      </c>
      <c r="D84" s="14">
        <v>18.8</v>
      </c>
      <c r="E84" s="14">
        <v>0</v>
      </c>
      <c r="F84" s="14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4">
        <v>42.36</v>
      </c>
      <c r="M84" s="15">
        <v>40</v>
      </c>
      <c r="N84" s="15">
        <v>20</v>
      </c>
      <c r="O84" s="14">
        <v>6.06</v>
      </c>
      <c r="P84" s="14">
        <v>6.78</v>
      </c>
    </row>
    <row r="85" spans="1:16">
      <c r="A85" s="14">
        <v>5100034</v>
      </c>
      <c r="B85" s="15" t="str">
        <f>VLOOKUP(A:A,'1-物料数据'!A:B,2,FALSE)</f>
        <v>海大牌小猪配合饲料富美2号-L(散装)Φ3.8</v>
      </c>
      <c r="C85" s="15" t="s">
        <v>287</v>
      </c>
      <c r="D85" s="14">
        <v>32</v>
      </c>
      <c r="E85" s="14">
        <v>0</v>
      </c>
      <c r="F85" s="14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4">
        <v>0</v>
      </c>
      <c r="M85" s="15">
        <v>0</v>
      </c>
      <c r="N85" s="15">
        <v>0</v>
      </c>
      <c r="O85" s="14">
        <v>13.59</v>
      </c>
      <c r="P85" s="14">
        <v>12.63</v>
      </c>
    </row>
    <row r="86" spans="1:16">
      <c r="A86" s="14">
        <v>5100035</v>
      </c>
      <c r="B86" s="15" t="str">
        <f>VLOOKUP(A:A,'1-物料数据'!A:B,2,FALSE)</f>
        <v>海大牌中猪配合饲料富美3号-L(散装)Φ3.8</v>
      </c>
      <c r="C86" s="15" t="s">
        <v>287</v>
      </c>
      <c r="D86" s="14">
        <v>0</v>
      </c>
      <c r="E86" s="14">
        <v>32</v>
      </c>
      <c r="F86" s="14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4">
        <v>0</v>
      </c>
      <c r="M86" s="15">
        <v>0</v>
      </c>
      <c r="N86" s="15">
        <v>0</v>
      </c>
      <c r="O86" s="14">
        <v>8.96</v>
      </c>
      <c r="P86" s="14">
        <v>9.4</v>
      </c>
    </row>
    <row r="87" spans="1:16">
      <c r="A87" s="14">
        <v>5100036</v>
      </c>
      <c r="B87" s="15" t="str">
        <f>VLOOKUP(A:A,'1-物料数据'!A:B,2,FALSE)</f>
        <v>海大牌大猪配合饲料富美4号-L(散装)Φ3.8</v>
      </c>
      <c r="C87" s="15" t="s">
        <v>287</v>
      </c>
      <c r="D87" s="14">
        <v>32</v>
      </c>
      <c r="E87" s="14">
        <v>0</v>
      </c>
      <c r="F87" s="14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4">
        <v>0.04</v>
      </c>
      <c r="M87" s="15">
        <v>0</v>
      </c>
      <c r="N87" s="15">
        <v>0</v>
      </c>
      <c r="O87" s="14">
        <v>22.7</v>
      </c>
      <c r="P87" s="14">
        <v>25.29</v>
      </c>
    </row>
    <row r="88" spans="1:16">
      <c r="A88" s="14">
        <v>5100037</v>
      </c>
      <c r="B88" s="15" t="str">
        <f>VLOOKUP(A:A,'1-物料数据'!A:B,2,FALSE)</f>
        <v>海大牌后备母猪配合饲料富美5号-L(散装)Φ3.8</v>
      </c>
      <c r="C88" s="15" t="s">
        <v>287</v>
      </c>
      <c r="D88" s="14">
        <v>0</v>
      </c>
      <c r="E88" s="14">
        <v>0</v>
      </c>
      <c r="F88" s="14">
        <v>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4">
        <v>0</v>
      </c>
      <c r="M88" s="15">
        <v>0</v>
      </c>
      <c r="N88" s="15">
        <v>0</v>
      </c>
      <c r="O88" s="14">
        <v>0</v>
      </c>
      <c r="P88" s="14">
        <v>0.77</v>
      </c>
    </row>
    <row r="89" spans="1:16">
      <c r="A89" s="14">
        <v>5100038</v>
      </c>
      <c r="B89" s="15" t="str">
        <f>VLOOKUP(A:A,'1-物料数据'!A:B,2,FALSE)</f>
        <v>海大牌怀孕母猪配合饲料富美206-L(散装)Φ3.8</v>
      </c>
      <c r="C89" s="15" t="s">
        <v>287</v>
      </c>
      <c r="D89" s="14">
        <v>0</v>
      </c>
      <c r="E89" s="14">
        <v>32</v>
      </c>
      <c r="F89" s="14">
        <v>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4">
        <v>0</v>
      </c>
      <c r="M89" s="15">
        <v>0</v>
      </c>
      <c r="N89" s="15">
        <v>0</v>
      </c>
      <c r="O89" s="14">
        <v>6.84</v>
      </c>
      <c r="P89" s="14">
        <v>5.9</v>
      </c>
    </row>
    <row r="90" spans="1:16">
      <c r="A90" s="14">
        <v>5100039</v>
      </c>
      <c r="B90" s="15" t="str">
        <f>VLOOKUP(A:A,'1-物料数据'!A:B,2,FALSE)</f>
        <v>海大牌怀孕母猪配合饲料富美6号-L(散装)Φ3.8</v>
      </c>
      <c r="C90" s="15" t="s">
        <v>287</v>
      </c>
      <c r="D90" s="14">
        <v>0</v>
      </c>
      <c r="E90" s="14">
        <v>0</v>
      </c>
      <c r="F90" s="14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4">
        <v>0</v>
      </c>
      <c r="M90" s="15">
        <v>0</v>
      </c>
      <c r="N90" s="15">
        <v>0</v>
      </c>
      <c r="O90" s="14">
        <v>0</v>
      </c>
      <c r="P90" s="14">
        <v>0</v>
      </c>
    </row>
    <row r="91" spans="1:16">
      <c r="A91" s="14">
        <v>5100041</v>
      </c>
      <c r="B91" s="15" t="str">
        <f>VLOOKUP(A:A,'1-物料数据'!A:B,2,FALSE)</f>
        <v>海大牌哺乳母猪配合饲料富美8号-L(散装)Φ3.8</v>
      </c>
      <c r="C91" s="15" t="s">
        <v>287</v>
      </c>
      <c r="D91" s="14">
        <v>0</v>
      </c>
      <c r="E91" s="14">
        <v>0</v>
      </c>
      <c r="F91" s="14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4">
        <v>0.27</v>
      </c>
      <c r="M91" s="15">
        <v>0</v>
      </c>
      <c r="N91" s="15">
        <v>0</v>
      </c>
      <c r="O91" s="14">
        <v>2.25</v>
      </c>
      <c r="P91" s="14">
        <v>2.75</v>
      </c>
    </row>
    <row r="92" spans="1:16">
      <c r="A92" s="14">
        <v>5104063</v>
      </c>
      <c r="B92" s="15" t="str">
        <f>VLOOKUP(A:A,'1-物料数据'!A:B,2,FALSE)</f>
        <v>海大牌肥鸡配合饲料263-L40Φ2.5</v>
      </c>
      <c r="C92" s="15" t="s">
        <v>287</v>
      </c>
      <c r="D92" s="14">
        <v>0</v>
      </c>
      <c r="E92" s="14">
        <v>0</v>
      </c>
      <c r="F92" s="14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4">
        <v>0</v>
      </c>
      <c r="M92" s="15">
        <v>0</v>
      </c>
      <c r="N92" s="15">
        <v>0</v>
      </c>
      <c r="O92" s="14">
        <v>0</v>
      </c>
      <c r="P92" s="14">
        <v>0</v>
      </c>
    </row>
    <row r="93" spans="1:16">
      <c r="A93" s="14">
        <v>5107973</v>
      </c>
      <c r="B93" s="15" t="str">
        <f>VLOOKUP(A:A,'1-物料数据'!A:B,2,FALSE)</f>
        <v>海大牌大猪配合饲料育肥王-L40Φ3.8</v>
      </c>
      <c r="C93" s="15" t="s">
        <v>288</v>
      </c>
      <c r="D93" s="14">
        <v>16.6</v>
      </c>
      <c r="E93" s="14">
        <v>0</v>
      </c>
      <c r="F93" s="14">
        <v>0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4">
        <v>25</v>
      </c>
      <c r="M93" s="15">
        <v>52</v>
      </c>
      <c r="N93" s="15">
        <v>20</v>
      </c>
      <c r="O93" s="14">
        <v>5.86</v>
      </c>
      <c r="P93" s="14">
        <v>7.51</v>
      </c>
    </row>
    <row r="94" spans="1:16">
      <c r="A94" s="14">
        <v>5110174</v>
      </c>
      <c r="B94" s="15" t="str">
        <f>VLOOKUP(A:A,'1-物料数据'!A:B,2,FALSE)</f>
        <v>海恒牌鱼种配合饲料666-1P40Φ1P</v>
      </c>
      <c r="C94" s="15" t="s">
        <v>287</v>
      </c>
      <c r="D94" s="14">
        <v>0</v>
      </c>
      <c r="E94" s="14">
        <v>0</v>
      </c>
      <c r="F94" s="14">
        <v>0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4">
        <v>1.8</v>
      </c>
      <c r="M94" s="15">
        <v>0</v>
      </c>
      <c r="N94" s="15">
        <v>0</v>
      </c>
      <c r="O94" s="14">
        <v>2.86</v>
      </c>
      <c r="P94" s="14">
        <v>1.55</v>
      </c>
    </row>
    <row r="95" spans="1:16">
      <c r="A95" s="14">
        <v>5110175</v>
      </c>
      <c r="B95" s="15" t="str">
        <f>VLOOKUP(A:A,'1-物料数据'!A:B,2,FALSE)</f>
        <v>海恒牌鱼种配合饲料666-2P40Φ2P</v>
      </c>
      <c r="C95" s="15" t="s">
        <v>287</v>
      </c>
      <c r="D95" s="14">
        <v>0</v>
      </c>
      <c r="E95" s="14">
        <v>0</v>
      </c>
      <c r="F95" s="14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4">
        <v>4.12</v>
      </c>
      <c r="M95" s="15">
        <v>0</v>
      </c>
      <c r="N95" s="15">
        <v>0</v>
      </c>
      <c r="O95" s="14">
        <v>1.21</v>
      </c>
      <c r="P95" s="14">
        <v>0.88</v>
      </c>
    </row>
    <row r="96" spans="1:16">
      <c r="A96" s="14">
        <v>5112918</v>
      </c>
      <c r="B96" s="15" t="str">
        <f>VLOOKUP(A:A,'1-物料数据'!A:B,2,FALSE)</f>
        <v>海大牌乳猪配合饲料富美1号-L(散装)Φ3.0</v>
      </c>
      <c r="C96" s="15" t="s">
        <v>287</v>
      </c>
      <c r="D96" s="14">
        <v>0</v>
      </c>
      <c r="E96" s="14">
        <v>0</v>
      </c>
      <c r="F96" s="14">
        <v>0</v>
      </c>
      <c r="G96" s="11">
        <v>0</v>
      </c>
      <c r="H96" s="11">
        <v>0</v>
      </c>
      <c r="I96" s="11">
        <v>0</v>
      </c>
      <c r="J96" s="11">
        <v>0</v>
      </c>
      <c r="K96" s="11">
        <v>0</v>
      </c>
      <c r="L96" s="14">
        <v>0</v>
      </c>
      <c r="M96" s="15">
        <v>0</v>
      </c>
      <c r="N96" s="15">
        <v>0</v>
      </c>
      <c r="O96" s="14">
        <v>0</v>
      </c>
      <c r="P96" s="14">
        <v>0</v>
      </c>
    </row>
    <row r="97" spans="1:16">
      <c r="A97" s="14">
        <v>5113913</v>
      </c>
      <c r="B97" s="15" t="str">
        <f>VLOOKUP(A:A,'1-物料数据'!A:B,2,FALSE)</f>
        <v>海大牌蛋鸡配合饲料285-F(散装)ΦF</v>
      </c>
      <c r="C97" s="15" t="s">
        <v>287</v>
      </c>
      <c r="D97" s="14">
        <v>0</v>
      </c>
      <c r="E97" s="14">
        <v>0</v>
      </c>
      <c r="F97" s="14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4">
        <v>0</v>
      </c>
      <c r="M97" s="15">
        <v>33</v>
      </c>
      <c r="N97" s="15">
        <v>0</v>
      </c>
      <c r="O97" s="14">
        <v>2.29</v>
      </c>
      <c r="P97" s="14">
        <v>2.75</v>
      </c>
    </row>
    <row r="98" spans="1:16">
      <c r="A98" s="14">
        <v>5114864</v>
      </c>
      <c r="B98" s="15" t="str">
        <f>VLOOKUP(A:A,'1-物料数据'!A:B,2,FALSE)</f>
        <v>海大牌大鸡配合饲料133(S)-L40Φ3.5</v>
      </c>
      <c r="C98" s="15" t="s">
        <v>287</v>
      </c>
      <c r="D98" s="14">
        <v>24</v>
      </c>
      <c r="E98" s="14">
        <v>0</v>
      </c>
      <c r="F98" s="14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4">
        <v>32.84</v>
      </c>
      <c r="M98" s="15">
        <v>0</v>
      </c>
      <c r="N98" s="15">
        <v>0</v>
      </c>
      <c r="O98" s="14">
        <v>8</v>
      </c>
      <c r="P98" s="14">
        <v>7.21</v>
      </c>
    </row>
    <row r="99" spans="1:16">
      <c r="A99" s="14">
        <v>5114865</v>
      </c>
      <c r="B99" s="15" t="str">
        <f>VLOOKUP(A:A,'1-物料数据'!A:B,2,FALSE)</f>
        <v>海大牌中鸡配合饲料132(S)-L40Φ2.5</v>
      </c>
      <c r="C99" s="15" t="s">
        <v>287</v>
      </c>
      <c r="D99" s="14">
        <v>12</v>
      </c>
      <c r="E99" s="14">
        <v>0</v>
      </c>
      <c r="F99" s="14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4">
        <v>17.68</v>
      </c>
      <c r="M99" s="15">
        <v>0</v>
      </c>
      <c r="N99" s="15">
        <v>0</v>
      </c>
      <c r="O99" s="14">
        <v>4.57</v>
      </c>
      <c r="P99" s="14">
        <v>4.93</v>
      </c>
    </row>
    <row r="100" spans="1:16">
      <c r="A100" s="14">
        <v>5115213</v>
      </c>
      <c r="B100" s="15" t="str">
        <f>VLOOKUP(A:A,'1-物料数据'!A:B,2,FALSE)</f>
        <v>海大牌公猪配合饲料606-DGHD-L(散装)Φ3.8</v>
      </c>
      <c r="C100" s="15" t="s">
        <v>287</v>
      </c>
      <c r="D100" s="14">
        <v>0</v>
      </c>
      <c r="E100" s="14">
        <v>0</v>
      </c>
      <c r="F100" s="14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4">
        <v>0</v>
      </c>
      <c r="M100" s="15">
        <v>0</v>
      </c>
      <c r="N100" s="15">
        <v>0</v>
      </c>
      <c r="O100" s="14">
        <v>0</v>
      </c>
      <c r="P100" s="14">
        <v>0</v>
      </c>
    </row>
    <row r="101" spans="1:16">
      <c r="A101" s="14">
        <v>5115215</v>
      </c>
      <c r="B101" s="15" t="str">
        <f>VLOOKUP(A:A,'1-物料数据'!A:B,2,FALSE)</f>
        <v>海大牌后备母猪配合饲料507-DGHD-L(散装)Φ3.8</v>
      </c>
      <c r="C101" s="15" t="s">
        <v>287</v>
      </c>
      <c r="D101" s="14">
        <v>0</v>
      </c>
      <c r="E101" s="14">
        <v>0</v>
      </c>
      <c r="F101" s="14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4">
        <v>0</v>
      </c>
      <c r="M101" s="15">
        <v>0</v>
      </c>
      <c r="N101" s="15">
        <v>0</v>
      </c>
      <c r="O101" s="14">
        <v>0</v>
      </c>
      <c r="P101" s="14">
        <v>0.53</v>
      </c>
    </row>
    <row r="102" spans="1:16">
      <c r="A102" s="14">
        <v>5115216</v>
      </c>
      <c r="B102" s="15" t="str">
        <f>VLOOKUP(A:A,'1-物料数据'!A:B,2,FALSE)</f>
        <v>海大牌怀孕母猪配合饲料508-DGHD-L(散装)Φ3.8</v>
      </c>
      <c r="C102" s="15" t="s">
        <v>287</v>
      </c>
      <c r="D102" s="14">
        <v>8</v>
      </c>
      <c r="E102" s="14">
        <v>8</v>
      </c>
      <c r="F102" s="14">
        <v>8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4">
        <v>0</v>
      </c>
      <c r="M102" s="15">
        <v>0</v>
      </c>
      <c r="N102" s="15">
        <v>0</v>
      </c>
      <c r="O102" s="14">
        <v>1.73</v>
      </c>
      <c r="P102" s="14">
        <v>1.58</v>
      </c>
    </row>
    <row r="103" spans="1:16">
      <c r="A103" s="14">
        <v>5115217</v>
      </c>
      <c r="B103" s="15" t="str">
        <f>VLOOKUP(A:A,'1-物料数据'!A:B,2,FALSE)</f>
        <v>海大牌哺乳母猪配合饲料509-DGHD-L(散装)Φ3.8</v>
      </c>
      <c r="C103" s="15" t="s">
        <v>287</v>
      </c>
      <c r="D103" s="14">
        <v>4</v>
      </c>
      <c r="E103" s="14">
        <v>4</v>
      </c>
      <c r="F103" s="14">
        <v>4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4">
        <v>0</v>
      </c>
      <c r="M103" s="15">
        <v>0</v>
      </c>
      <c r="N103" s="15">
        <v>0</v>
      </c>
      <c r="O103" s="14">
        <v>0.54</v>
      </c>
      <c r="P103" s="14">
        <v>0.63</v>
      </c>
    </row>
    <row r="104" spans="1:16">
      <c r="A104" s="14">
        <v>5115219</v>
      </c>
      <c r="B104" s="15" t="str">
        <f>VLOOKUP(A:A,'1-物料数据'!A:B,2,FALSE)</f>
        <v>海大牌乳猪配合饲料JL2-DGHD-L(散装)Φ3.0</v>
      </c>
      <c r="C104" s="15" t="s">
        <v>287</v>
      </c>
      <c r="D104" s="14">
        <v>0</v>
      </c>
      <c r="E104" s="14">
        <v>0</v>
      </c>
      <c r="F104" s="14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4">
        <v>0</v>
      </c>
      <c r="M104" s="15">
        <v>0</v>
      </c>
      <c r="N104" s="15">
        <v>0</v>
      </c>
      <c r="O104" s="14">
        <v>10.27</v>
      </c>
      <c r="P104" s="14">
        <v>2.67</v>
      </c>
    </row>
    <row r="105" spans="1:16">
      <c r="A105" s="14">
        <v>5115220</v>
      </c>
      <c r="B105" s="15" t="str">
        <f>VLOOKUP(A:A,'1-物料数据'!A:B,2,FALSE)</f>
        <v>海大牌小猪配合饲料JL3-DGHD-L(散装)Φ3.8</v>
      </c>
      <c r="C105" s="15" t="s">
        <v>287</v>
      </c>
      <c r="D105" s="14">
        <v>0</v>
      </c>
      <c r="E105" s="14">
        <v>0</v>
      </c>
      <c r="F105" s="14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4">
        <v>2.86</v>
      </c>
      <c r="M105" s="15">
        <v>0</v>
      </c>
      <c r="N105" s="15">
        <v>0</v>
      </c>
      <c r="O105" s="14">
        <v>18.45</v>
      </c>
      <c r="P105" s="14">
        <v>10.92</v>
      </c>
    </row>
    <row r="106" spans="1:16">
      <c r="A106" s="14">
        <v>5115271</v>
      </c>
      <c r="B106" s="15" t="str">
        <f>VLOOKUP(A:A,'1-物料数据'!A:B,2,FALSE)</f>
        <v>海大牌中猪配合饲料JL4-DGHD-L(散装)Φ3.8</v>
      </c>
      <c r="C106" s="15" t="s">
        <v>287</v>
      </c>
      <c r="D106" s="14">
        <v>8</v>
      </c>
      <c r="E106" s="14">
        <v>20</v>
      </c>
      <c r="F106" s="14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4">
        <v>18.02</v>
      </c>
      <c r="M106" s="15">
        <v>0</v>
      </c>
      <c r="N106" s="15">
        <v>0</v>
      </c>
      <c r="O106" s="14">
        <v>5.65</v>
      </c>
      <c r="P106" s="14">
        <v>5.8</v>
      </c>
    </row>
    <row r="107" spans="1:16">
      <c r="A107" s="14">
        <v>5115272</v>
      </c>
      <c r="B107" s="15" t="str">
        <f>VLOOKUP(A:A,'1-物料数据'!A:B,2,FALSE)</f>
        <v>海大牌大猪配合饲料JL5-DGHD-L(散装)Φ3.8</v>
      </c>
      <c r="C107" s="15" t="s">
        <v>287</v>
      </c>
      <c r="D107" s="14">
        <v>48</v>
      </c>
      <c r="E107" s="14">
        <v>40</v>
      </c>
      <c r="F107" s="14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4">
        <v>33.28</v>
      </c>
      <c r="M107" s="15">
        <v>0</v>
      </c>
      <c r="N107" s="15">
        <v>0</v>
      </c>
      <c r="O107" s="14">
        <v>20.58</v>
      </c>
      <c r="P107" s="14">
        <v>23.74</v>
      </c>
    </row>
    <row r="108" spans="1:16">
      <c r="A108" s="14">
        <v>5116197</v>
      </c>
      <c r="B108" s="15" t="str">
        <f>VLOOKUP(A:A,'1-物料数据'!A:B,2,FALSE)</f>
        <v>海大牌乳猪配合饲料-纯土猪保育料111-L(散装)Φ3.0</v>
      </c>
      <c r="C108" s="15" t="s">
        <v>287</v>
      </c>
      <c r="D108" s="14">
        <v>0</v>
      </c>
      <c r="E108" s="14">
        <v>0</v>
      </c>
      <c r="F108" s="14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4">
        <v>0</v>
      </c>
      <c r="M108" s="15">
        <v>0</v>
      </c>
      <c r="N108" s="15">
        <v>0</v>
      </c>
      <c r="O108" s="14">
        <v>0.61</v>
      </c>
      <c r="P108" s="14">
        <v>0.32</v>
      </c>
    </row>
    <row r="109" spans="1:16">
      <c r="A109" s="14">
        <v>5116198</v>
      </c>
      <c r="B109" s="15" t="str">
        <f>VLOOKUP(A:A,'1-物料数据'!A:B,2,FALSE)</f>
        <v>海大牌怀孕母猪配合饲料-纯土猪怀孕116-L(散装)Φ3.8</v>
      </c>
      <c r="C109" s="15" t="s">
        <v>287</v>
      </c>
      <c r="D109" s="14">
        <v>0</v>
      </c>
      <c r="E109" s="14">
        <v>0</v>
      </c>
      <c r="F109" s="14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4">
        <v>0</v>
      </c>
      <c r="M109" s="15">
        <v>0</v>
      </c>
      <c r="N109" s="15">
        <v>0</v>
      </c>
      <c r="O109" s="14">
        <v>0</v>
      </c>
      <c r="P109" s="14">
        <v>0</v>
      </c>
    </row>
    <row r="110" spans="1:16">
      <c r="A110" s="14">
        <v>5116199</v>
      </c>
      <c r="B110" s="15" t="str">
        <f>VLOOKUP(A:A,'1-物料数据'!A:B,2,FALSE)</f>
        <v>海大牌哺乳母猪配合饲料-纯土猪哺乳118-L(散装)Φ3.8</v>
      </c>
      <c r="C110" s="15" t="s">
        <v>287</v>
      </c>
      <c r="D110" s="14">
        <v>0</v>
      </c>
      <c r="E110" s="14">
        <v>0</v>
      </c>
      <c r="F110" s="14">
        <v>0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4">
        <v>0</v>
      </c>
      <c r="M110" s="15">
        <v>0</v>
      </c>
      <c r="N110" s="15">
        <v>0</v>
      </c>
      <c r="O110" s="14">
        <v>0</v>
      </c>
      <c r="P110" s="14">
        <v>0</v>
      </c>
    </row>
    <row r="111" spans="1:16">
      <c r="A111" s="14">
        <v>5116200</v>
      </c>
      <c r="B111" s="15" t="str">
        <f>VLOOKUP(A:A,'1-物料数据'!A:B,2,FALSE)</f>
        <v>海大牌乳猪配合饲料-黑猪保育221-L(散装)Φ3.0</v>
      </c>
      <c r="C111" s="15" t="s">
        <v>287</v>
      </c>
      <c r="D111" s="14">
        <v>0</v>
      </c>
      <c r="E111" s="14">
        <v>0</v>
      </c>
      <c r="F111" s="14">
        <v>0</v>
      </c>
      <c r="G111" s="11">
        <v>0</v>
      </c>
      <c r="H111" s="11">
        <v>0</v>
      </c>
      <c r="I111" s="11">
        <v>0</v>
      </c>
      <c r="J111" s="11">
        <v>0</v>
      </c>
      <c r="K111" s="11">
        <v>0</v>
      </c>
      <c r="L111" s="14">
        <v>0</v>
      </c>
      <c r="M111" s="15">
        <v>0</v>
      </c>
      <c r="N111" s="15">
        <v>0</v>
      </c>
      <c r="O111" s="14">
        <v>0</v>
      </c>
      <c r="P111" s="14">
        <v>0</v>
      </c>
    </row>
    <row r="112" spans="1:16">
      <c r="A112" s="14">
        <v>5116211</v>
      </c>
      <c r="B112" s="15" t="str">
        <f>VLOOKUP(A:A,'1-物料数据'!A:B,2,FALSE)</f>
        <v>海大牌小猪配合饲料-黑猪小猪222-L(散装)Φ3.8</v>
      </c>
      <c r="C112" s="15" t="s">
        <v>287</v>
      </c>
      <c r="D112" s="14">
        <v>0</v>
      </c>
      <c r="E112" s="14">
        <v>0</v>
      </c>
      <c r="F112" s="14">
        <v>0</v>
      </c>
      <c r="G112" s="11">
        <v>0</v>
      </c>
      <c r="H112" s="11">
        <v>0</v>
      </c>
      <c r="I112" s="11">
        <v>0</v>
      </c>
      <c r="J112" s="11">
        <v>0</v>
      </c>
      <c r="K112" s="11">
        <v>0</v>
      </c>
      <c r="L112" s="14">
        <v>0</v>
      </c>
      <c r="M112" s="15">
        <v>0</v>
      </c>
      <c r="N112" s="15">
        <v>0</v>
      </c>
      <c r="O112" s="14">
        <v>0</v>
      </c>
      <c r="P112" s="14">
        <v>0</v>
      </c>
    </row>
    <row r="113" spans="1:16">
      <c r="A113" s="14">
        <v>5116212</v>
      </c>
      <c r="B113" s="15" t="str">
        <f>VLOOKUP(A:A,'1-物料数据'!A:B,2,FALSE)</f>
        <v>海大牌中猪配合饲料-黑猪中猪223-L(散装)Φ3.8</v>
      </c>
      <c r="C113" s="15" t="s">
        <v>287</v>
      </c>
      <c r="D113" s="14">
        <v>0</v>
      </c>
      <c r="E113" s="14">
        <v>0</v>
      </c>
      <c r="F113" s="14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4">
        <v>0</v>
      </c>
      <c r="M113" s="15">
        <v>0</v>
      </c>
      <c r="N113" s="15">
        <v>0</v>
      </c>
      <c r="O113" s="14">
        <v>0</v>
      </c>
      <c r="P113" s="14">
        <v>0</v>
      </c>
    </row>
    <row r="114" spans="1:16">
      <c r="A114" s="14">
        <v>5116213</v>
      </c>
      <c r="B114" s="15" t="str">
        <f>VLOOKUP(A:A,'1-物料数据'!A:B,2,FALSE)</f>
        <v>海大牌大猪配合饲料-黑猪大猪223S-L(散装)Φ3.8</v>
      </c>
      <c r="C114" s="15" t="s">
        <v>287</v>
      </c>
      <c r="D114" s="14">
        <v>0</v>
      </c>
      <c r="E114" s="14">
        <v>0</v>
      </c>
      <c r="F114" s="14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4">
        <v>0</v>
      </c>
      <c r="M114" s="15">
        <v>0</v>
      </c>
      <c r="N114" s="15">
        <v>0</v>
      </c>
      <c r="O114" s="14">
        <v>0</v>
      </c>
      <c r="P114" s="14">
        <v>0</v>
      </c>
    </row>
    <row r="115" spans="1:16">
      <c r="A115" s="14">
        <v>5116214</v>
      </c>
      <c r="B115" s="15" t="str">
        <f>VLOOKUP(A:A,'1-物料数据'!A:B,2,FALSE)</f>
        <v>海大牌怀孕母猪配合饲料-黑猪怀孕226-L(散装)Φ3.8</v>
      </c>
      <c r="C115" s="15" t="s">
        <v>287</v>
      </c>
      <c r="D115" s="14">
        <v>0</v>
      </c>
      <c r="E115" s="14">
        <v>0</v>
      </c>
      <c r="F115" s="14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4">
        <v>0</v>
      </c>
      <c r="M115" s="15">
        <v>0</v>
      </c>
      <c r="N115" s="15">
        <v>0</v>
      </c>
      <c r="O115" s="14">
        <v>0</v>
      </c>
      <c r="P115" s="14">
        <v>0</v>
      </c>
    </row>
    <row r="116" spans="1:16">
      <c r="A116" s="14">
        <v>5116215</v>
      </c>
      <c r="B116" s="15" t="str">
        <f>VLOOKUP(A:A,'1-物料数据'!A:B,2,FALSE)</f>
        <v>海大牌哺乳母猪配合饲料-黑猪哺乳228-L(散装)Φ3.8</v>
      </c>
      <c r="C116" s="15" t="s">
        <v>287</v>
      </c>
      <c r="D116" s="14">
        <v>0</v>
      </c>
      <c r="E116" s="14">
        <v>0</v>
      </c>
      <c r="F116" s="14">
        <v>0</v>
      </c>
      <c r="G116" s="11">
        <v>0</v>
      </c>
      <c r="H116" s="11">
        <v>0</v>
      </c>
      <c r="I116" s="11">
        <v>0</v>
      </c>
      <c r="J116" s="11">
        <v>0</v>
      </c>
      <c r="K116" s="11">
        <v>0</v>
      </c>
      <c r="L116" s="14">
        <v>0</v>
      </c>
      <c r="M116" s="15">
        <v>0</v>
      </c>
      <c r="N116" s="15">
        <v>0</v>
      </c>
      <c r="O116" s="14">
        <v>0</v>
      </c>
      <c r="P116" s="14">
        <v>0</v>
      </c>
    </row>
    <row r="117" spans="1:16">
      <c r="A117" s="14">
        <v>5116216</v>
      </c>
      <c r="B117" s="15" t="str">
        <f>VLOOKUP(A:A,'1-物料数据'!A:B,2,FALSE)</f>
        <v>海大牌后备母猪配合饲料-黑猪后备227-L(散装)Φ3.8</v>
      </c>
      <c r="C117" s="15" t="s">
        <v>287</v>
      </c>
      <c r="D117" s="14">
        <v>0</v>
      </c>
      <c r="E117" s="14">
        <v>0</v>
      </c>
      <c r="F117" s="14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4">
        <v>0</v>
      </c>
      <c r="M117" s="15">
        <v>0</v>
      </c>
      <c r="N117" s="15">
        <v>0</v>
      </c>
      <c r="O117" s="14">
        <v>0</v>
      </c>
      <c r="P117" s="14">
        <v>0</v>
      </c>
    </row>
    <row r="118" spans="1:16">
      <c r="A118" s="14">
        <v>5116218</v>
      </c>
      <c r="B118" s="15" t="str">
        <f>VLOOKUP(A:A,'1-物料数据'!A:B,2,FALSE)</f>
        <v>海大牌大猪配合饲料-白猪大猪333S-L(散装)Φ3.8</v>
      </c>
      <c r="C118" s="15" t="s">
        <v>287</v>
      </c>
      <c r="D118" s="14">
        <v>0</v>
      </c>
      <c r="E118" s="14">
        <v>0</v>
      </c>
      <c r="F118" s="14">
        <v>0</v>
      </c>
      <c r="G118" s="11">
        <v>0</v>
      </c>
      <c r="H118" s="11">
        <v>0</v>
      </c>
      <c r="I118" s="11">
        <v>0</v>
      </c>
      <c r="J118" s="11">
        <v>0</v>
      </c>
      <c r="K118" s="11">
        <v>0</v>
      </c>
      <c r="L118" s="14">
        <v>0</v>
      </c>
      <c r="M118" s="15">
        <v>0</v>
      </c>
      <c r="N118" s="15">
        <v>0</v>
      </c>
      <c r="O118" s="14">
        <v>0</v>
      </c>
      <c r="P118" s="14">
        <v>0</v>
      </c>
    </row>
    <row r="119" spans="1:16">
      <c r="A119" s="14">
        <v>5117558</v>
      </c>
      <c r="B119" s="15" t="str">
        <f>VLOOKUP(A:A,'1-物料数据'!A:B,2,FALSE)</f>
        <v>海大牌快大肥鸡配合饲料223-L40Φ3.5</v>
      </c>
      <c r="C119" s="15" t="s">
        <v>287</v>
      </c>
      <c r="D119" s="14">
        <v>10</v>
      </c>
      <c r="E119" s="14">
        <v>0</v>
      </c>
      <c r="F119" s="14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4">
        <v>15.36</v>
      </c>
      <c r="M119" s="11">
        <v>0</v>
      </c>
      <c r="N119" s="11">
        <v>0</v>
      </c>
      <c r="O119" s="14">
        <v>3.92</v>
      </c>
      <c r="P119" s="14">
        <v>2.05</v>
      </c>
    </row>
    <row r="120" spans="1:16">
      <c r="A120" s="14">
        <v>5117722</v>
      </c>
      <c r="B120" s="15" t="str">
        <f>VLOOKUP(A:A,'1-物料数据'!A:B,2,FALSE)</f>
        <v>海大牌鱼种配合饲料100A(中P)-2P40Φ2P</v>
      </c>
      <c r="C120" s="15" t="s">
        <v>287</v>
      </c>
      <c r="D120" s="14">
        <v>0</v>
      </c>
      <c r="E120" s="14">
        <v>0</v>
      </c>
      <c r="F120" s="14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4">
        <v>15.4</v>
      </c>
      <c r="M120" s="11">
        <v>0</v>
      </c>
      <c r="N120" s="11">
        <v>0</v>
      </c>
      <c r="O120" s="14">
        <v>2.74</v>
      </c>
      <c r="P120" s="14">
        <v>2.1</v>
      </c>
    </row>
  </sheetData>
  <autoFilter ref="A1:P120"/>
  <conditionalFormatting sqref="A:A">
    <cfRule type="duplicateValues" dxfId="1" priority="1" stopIfTrue="1"/>
  </conditionalFormatting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</sheetPr>
  <dimension ref="A1:H2"/>
  <sheetViews>
    <sheetView workbookViewId="0">
      <selection activeCell="A1" sqref="A1"/>
    </sheetView>
  </sheetViews>
  <sheetFormatPr defaultColWidth="8" defaultRowHeight="16" outlineLevelRow="1" outlineLevelCol="7"/>
  <cols>
    <col min="1" max="1" width="17.1333333333333" customWidth="1"/>
  </cols>
  <sheetData>
    <row r="1" spans="1:8">
      <c r="A1" s="12" t="s">
        <v>294</v>
      </c>
      <c r="B1" s="12" t="s">
        <v>295</v>
      </c>
      <c r="C1" s="12" t="s">
        <v>296</v>
      </c>
      <c r="D1" s="12" t="s">
        <v>297</v>
      </c>
      <c r="E1" s="12" t="s">
        <v>298</v>
      </c>
      <c r="F1" s="12" t="s">
        <v>299</v>
      </c>
      <c r="G1" s="10" t="s">
        <v>300</v>
      </c>
      <c r="H1" s="10" t="s">
        <v>301</v>
      </c>
    </row>
    <row r="2" spans="1:8">
      <c r="A2" s="14">
        <v>106732936</v>
      </c>
      <c r="B2" s="14" t="s">
        <v>302</v>
      </c>
      <c r="C2" s="14" t="s">
        <v>303</v>
      </c>
      <c r="D2" s="14">
        <v>5082213</v>
      </c>
      <c r="E2" s="14">
        <v>96.8</v>
      </c>
      <c r="F2" s="14">
        <v>33.6</v>
      </c>
      <c r="G2" s="11">
        <v>63.2</v>
      </c>
      <c r="H2" s="14" t="s">
        <v>304</v>
      </c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</sheetPr>
  <dimension ref="A1:C8"/>
  <sheetViews>
    <sheetView workbookViewId="0">
      <selection activeCell="A1" sqref="A1"/>
    </sheetView>
  </sheetViews>
  <sheetFormatPr defaultColWidth="8" defaultRowHeight="16" outlineLevelRow="7" outlineLevelCol="2"/>
  <sheetData>
    <row r="1" spans="1:3">
      <c r="A1" s="12" t="s">
        <v>295</v>
      </c>
      <c r="B1" s="12" t="s">
        <v>296</v>
      </c>
      <c r="C1" s="12" t="s">
        <v>305</v>
      </c>
    </row>
    <row r="2" spans="1:3">
      <c r="A2" s="14" t="s">
        <v>302</v>
      </c>
      <c r="B2" s="14" t="s">
        <v>306</v>
      </c>
      <c r="C2" s="14">
        <v>5037473</v>
      </c>
    </row>
    <row r="3" spans="1:3">
      <c r="A3" s="14" t="s">
        <v>302</v>
      </c>
      <c r="B3" s="14" t="s">
        <v>303</v>
      </c>
      <c r="C3" s="14">
        <v>5082213</v>
      </c>
    </row>
    <row r="4" spans="1:3">
      <c r="A4" s="14" t="s">
        <v>302</v>
      </c>
      <c r="B4" s="14" t="s">
        <v>307</v>
      </c>
      <c r="C4" s="14">
        <v>5082211</v>
      </c>
    </row>
    <row r="5" spans="1:3">
      <c r="A5" s="14" t="s">
        <v>302</v>
      </c>
      <c r="B5" s="14" t="s">
        <v>308</v>
      </c>
      <c r="C5" s="14">
        <v>5000659</v>
      </c>
    </row>
    <row r="6" spans="1:3">
      <c r="A6" s="14" t="s">
        <v>309</v>
      </c>
      <c r="B6" s="14" t="s">
        <v>310</v>
      </c>
      <c r="C6" s="14">
        <v>5078546</v>
      </c>
    </row>
    <row r="7" spans="1:3">
      <c r="A7" s="14" t="s">
        <v>309</v>
      </c>
      <c r="B7" s="14" t="s">
        <v>311</v>
      </c>
      <c r="C7" s="14">
        <v>5043653</v>
      </c>
    </row>
    <row r="8" spans="1:3">
      <c r="A8" s="14" t="s">
        <v>309</v>
      </c>
      <c r="B8" s="14" t="s">
        <v>312</v>
      </c>
      <c r="C8" s="14">
        <v>5000658</v>
      </c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</sheetPr>
  <dimension ref="A1:F8"/>
  <sheetViews>
    <sheetView workbookViewId="0">
      <selection activeCell="A1" sqref="A1"/>
    </sheetView>
  </sheetViews>
  <sheetFormatPr defaultColWidth="8" defaultRowHeight="16" outlineLevelRow="7" outlineLevelCol="5"/>
  <cols>
    <col min="2" max="2" width="13.2666666666667" customWidth="1"/>
    <col min="6" max="6" width="17.8" customWidth="1"/>
  </cols>
  <sheetData>
    <row r="1" spans="1:6">
      <c r="A1" s="12" t="s">
        <v>313</v>
      </c>
      <c r="B1" s="12" t="s">
        <v>314</v>
      </c>
      <c r="C1" s="12" t="s">
        <v>315</v>
      </c>
      <c r="D1" s="12" t="s">
        <v>316</v>
      </c>
      <c r="E1" s="12" t="s">
        <v>317</v>
      </c>
      <c r="F1" s="12" t="s">
        <v>318</v>
      </c>
    </row>
    <row r="2" spans="1:6">
      <c r="A2" s="11">
        <v>7</v>
      </c>
      <c r="B2" s="11" t="s">
        <v>312</v>
      </c>
      <c r="C2" s="11" t="s">
        <v>302</v>
      </c>
      <c r="D2" s="11">
        <v>4</v>
      </c>
      <c r="F2" s="11">
        <v>2</v>
      </c>
    </row>
    <row r="3" spans="1:6">
      <c r="A3" s="11">
        <v>6</v>
      </c>
      <c r="B3" s="11" t="s">
        <v>311</v>
      </c>
      <c r="C3" s="11" t="s">
        <v>309</v>
      </c>
      <c r="D3" s="11">
        <v>4</v>
      </c>
      <c r="F3" s="11">
        <v>2</v>
      </c>
    </row>
    <row r="4" spans="1:6">
      <c r="A4" s="11">
        <v>5</v>
      </c>
      <c r="B4" s="11" t="s">
        <v>310</v>
      </c>
      <c r="C4" s="11" t="s">
        <v>309</v>
      </c>
      <c r="D4" s="11">
        <v>4</v>
      </c>
      <c r="F4" s="11">
        <v>2</v>
      </c>
    </row>
    <row r="5" spans="1:6">
      <c r="A5" s="11">
        <v>4</v>
      </c>
      <c r="B5" s="11" t="s">
        <v>308</v>
      </c>
      <c r="C5" s="11" t="s">
        <v>302</v>
      </c>
      <c r="D5" s="11">
        <v>2.2</v>
      </c>
      <c r="F5" s="11">
        <v>2</v>
      </c>
    </row>
    <row r="6" spans="1:6">
      <c r="A6" s="11">
        <v>3</v>
      </c>
      <c r="B6" s="11" t="s">
        <v>307</v>
      </c>
      <c r="C6" s="11" t="s">
        <v>302</v>
      </c>
      <c r="D6" s="11">
        <v>2.2</v>
      </c>
      <c r="F6" s="11">
        <v>2</v>
      </c>
    </row>
    <row r="7" spans="1:6">
      <c r="A7" s="11">
        <v>2</v>
      </c>
      <c r="B7" s="11" t="s">
        <v>303</v>
      </c>
      <c r="C7" s="11" t="s">
        <v>302</v>
      </c>
      <c r="D7" s="11">
        <v>2.2</v>
      </c>
      <c r="F7" s="11">
        <v>2</v>
      </c>
    </row>
    <row r="8" spans="1:6">
      <c r="A8" s="11">
        <v>1</v>
      </c>
      <c r="B8" s="11" t="s">
        <v>306</v>
      </c>
      <c r="C8" s="11" t="s">
        <v>302</v>
      </c>
      <c r="D8" s="11">
        <v>2.2</v>
      </c>
      <c r="F8" s="11">
        <v>2</v>
      </c>
    </row>
  </sheetData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</sheetPr>
  <dimension ref="A1:D281"/>
  <sheetViews>
    <sheetView workbookViewId="0">
      <selection activeCell="A1" sqref="A1"/>
    </sheetView>
  </sheetViews>
  <sheetFormatPr defaultColWidth="8" defaultRowHeight="16" outlineLevelCol="3"/>
  <sheetData>
    <row r="1" spans="1:4">
      <c r="A1" s="12" t="s">
        <v>297</v>
      </c>
      <c r="B1" s="12" t="s">
        <v>313</v>
      </c>
      <c r="C1" s="12" t="s">
        <v>319</v>
      </c>
      <c r="D1" s="12" t="s">
        <v>320</v>
      </c>
    </row>
    <row r="2" spans="1:4">
      <c r="A2" s="13">
        <v>5013905</v>
      </c>
      <c r="B2" s="13">
        <v>3</v>
      </c>
      <c r="C2" s="13">
        <v>5</v>
      </c>
      <c r="D2" s="13">
        <v>0</v>
      </c>
    </row>
    <row r="3" spans="1:4">
      <c r="A3" s="13">
        <v>5044593</v>
      </c>
      <c r="B3" s="13">
        <v>3</v>
      </c>
      <c r="C3" s="13">
        <v>10</v>
      </c>
      <c r="D3" s="13">
        <v>3</v>
      </c>
    </row>
    <row r="4" spans="1:4">
      <c r="A4" s="13">
        <v>5044598</v>
      </c>
      <c r="B4" s="13">
        <v>3</v>
      </c>
      <c r="C4" s="13">
        <v>10</v>
      </c>
      <c r="D4" s="13">
        <v>3</v>
      </c>
    </row>
    <row r="5" spans="1:4">
      <c r="A5" s="13">
        <v>5049173</v>
      </c>
      <c r="B5" s="13">
        <v>3</v>
      </c>
      <c r="C5" s="13">
        <v>6</v>
      </c>
      <c r="D5" s="13">
        <v>1</v>
      </c>
    </row>
    <row r="6" spans="1:4">
      <c r="A6" s="13">
        <v>5064279</v>
      </c>
      <c r="B6" s="13">
        <v>3</v>
      </c>
      <c r="C6" s="13">
        <v>10</v>
      </c>
      <c r="D6" s="13">
        <v>3</v>
      </c>
    </row>
    <row r="7" spans="1:4">
      <c r="A7" s="13">
        <v>5089936</v>
      </c>
      <c r="B7" s="13">
        <v>3</v>
      </c>
      <c r="C7" s="13">
        <v>5</v>
      </c>
      <c r="D7" s="13">
        <v>0</v>
      </c>
    </row>
    <row r="8" spans="1:4">
      <c r="A8" s="13">
        <v>5089937</v>
      </c>
      <c r="B8" s="13">
        <v>3</v>
      </c>
      <c r="C8" s="13">
        <v>6</v>
      </c>
      <c r="D8" s="13">
        <v>1</v>
      </c>
    </row>
    <row r="9" spans="1:4">
      <c r="A9" s="13">
        <v>5000469</v>
      </c>
      <c r="B9" s="13">
        <v>3</v>
      </c>
      <c r="C9" s="13">
        <v>10</v>
      </c>
      <c r="D9" s="13">
        <v>3</v>
      </c>
    </row>
    <row r="10" spans="1:4">
      <c r="A10" s="13">
        <v>5000495</v>
      </c>
      <c r="B10" s="13">
        <v>3</v>
      </c>
      <c r="C10" s="13">
        <v>10</v>
      </c>
      <c r="D10" s="13">
        <v>3</v>
      </c>
    </row>
    <row r="11" spans="1:4">
      <c r="A11" s="13">
        <v>5000517</v>
      </c>
      <c r="B11" s="13">
        <v>3</v>
      </c>
      <c r="C11" s="13">
        <v>10</v>
      </c>
      <c r="D11" s="13">
        <v>3</v>
      </c>
    </row>
    <row r="12" spans="1:4">
      <c r="A12" s="13">
        <v>5001186</v>
      </c>
      <c r="B12" s="13">
        <v>3</v>
      </c>
      <c r="C12" s="13">
        <v>10</v>
      </c>
      <c r="D12" s="13">
        <v>3</v>
      </c>
    </row>
    <row r="13" spans="1:4">
      <c r="A13" s="13">
        <v>5013903</v>
      </c>
      <c r="B13" s="13">
        <v>3</v>
      </c>
      <c r="C13" s="13">
        <v>5</v>
      </c>
      <c r="D13" s="13">
        <v>0</v>
      </c>
    </row>
    <row r="14" spans="1:4">
      <c r="A14" s="13">
        <v>5013904</v>
      </c>
      <c r="B14" s="13">
        <v>3</v>
      </c>
      <c r="C14" s="13">
        <v>6</v>
      </c>
      <c r="D14" s="13">
        <v>1</v>
      </c>
    </row>
    <row r="15" spans="1:4">
      <c r="A15" s="13">
        <v>5013906</v>
      </c>
      <c r="B15" s="13">
        <v>3</v>
      </c>
      <c r="C15" s="13">
        <v>6</v>
      </c>
      <c r="D15" s="13">
        <v>1</v>
      </c>
    </row>
    <row r="16" spans="1:4">
      <c r="A16" s="13">
        <v>5013909</v>
      </c>
      <c r="B16" s="13">
        <v>3</v>
      </c>
      <c r="C16" s="13">
        <v>8</v>
      </c>
      <c r="D16" s="13">
        <v>2</v>
      </c>
    </row>
    <row r="17" spans="1:4">
      <c r="A17" s="13">
        <v>5022034</v>
      </c>
      <c r="B17" s="13">
        <v>3</v>
      </c>
      <c r="C17" s="13">
        <v>8</v>
      </c>
      <c r="D17" s="13">
        <v>2</v>
      </c>
    </row>
    <row r="18" spans="1:4">
      <c r="A18" s="13">
        <v>5032125</v>
      </c>
      <c r="B18" s="13">
        <v>3</v>
      </c>
      <c r="C18" s="13">
        <v>6</v>
      </c>
      <c r="D18" s="13">
        <v>1</v>
      </c>
    </row>
    <row r="19" spans="1:4">
      <c r="A19" s="13">
        <v>5032126</v>
      </c>
      <c r="B19" s="13">
        <v>3</v>
      </c>
      <c r="C19" s="13">
        <v>10</v>
      </c>
      <c r="D19" s="13">
        <v>3</v>
      </c>
    </row>
    <row r="20" spans="1:4">
      <c r="A20" s="13">
        <v>5044594</v>
      </c>
      <c r="B20" s="13">
        <v>3</v>
      </c>
      <c r="C20" s="13">
        <v>10</v>
      </c>
      <c r="D20" s="13">
        <v>3</v>
      </c>
    </row>
    <row r="21" spans="1:4">
      <c r="A21" s="13">
        <v>5044597</v>
      </c>
      <c r="B21" s="13">
        <v>3</v>
      </c>
      <c r="C21" s="13">
        <v>10</v>
      </c>
      <c r="D21" s="13">
        <v>3</v>
      </c>
    </row>
    <row r="22" spans="1:4">
      <c r="A22" s="13">
        <v>5044599</v>
      </c>
      <c r="B22" s="13">
        <v>3</v>
      </c>
      <c r="C22" s="13">
        <v>10</v>
      </c>
      <c r="D22" s="13">
        <v>3</v>
      </c>
    </row>
    <row r="23" spans="1:4">
      <c r="A23" s="13">
        <v>5057827</v>
      </c>
      <c r="B23" s="13">
        <v>3</v>
      </c>
      <c r="C23" s="13">
        <v>10</v>
      </c>
      <c r="D23" s="13">
        <v>3</v>
      </c>
    </row>
    <row r="24" spans="1:4">
      <c r="A24" s="13">
        <v>5089437</v>
      </c>
      <c r="B24" s="13">
        <v>3</v>
      </c>
      <c r="C24" s="13">
        <v>10</v>
      </c>
      <c r="D24" s="13">
        <v>3</v>
      </c>
    </row>
    <row r="25" spans="1:4">
      <c r="A25" s="13">
        <v>5089438</v>
      </c>
      <c r="B25" s="13">
        <v>3</v>
      </c>
      <c r="C25" s="13">
        <v>5</v>
      </c>
      <c r="D25" s="13">
        <v>0</v>
      </c>
    </row>
    <row r="26" spans="1:4">
      <c r="A26" s="13">
        <v>5110174</v>
      </c>
      <c r="B26" s="13">
        <v>3</v>
      </c>
      <c r="C26" s="13">
        <v>5</v>
      </c>
      <c r="D26" s="13">
        <v>0</v>
      </c>
    </row>
    <row r="27" spans="1:4">
      <c r="A27" s="13">
        <v>5110175</v>
      </c>
      <c r="B27" s="13">
        <v>3</v>
      </c>
      <c r="C27" s="13">
        <v>6</v>
      </c>
      <c r="D27" s="13">
        <v>1</v>
      </c>
    </row>
    <row r="28" spans="1:4">
      <c r="A28" s="13">
        <v>5117722</v>
      </c>
      <c r="B28" s="13">
        <v>3</v>
      </c>
      <c r="C28" s="13">
        <v>5</v>
      </c>
      <c r="D28" s="13">
        <v>0</v>
      </c>
    </row>
    <row r="29" spans="1:4">
      <c r="A29" s="13">
        <v>5016114</v>
      </c>
      <c r="B29" s="13">
        <v>6</v>
      </c>
      <c r="C29" s="13">
        <v>12</v>
      </c>
      <c r="D29" s="13">
        <v>0</v>
      </c>
    </row>
    <row r="30" spans="1:4">
      <c r="A30" s="13">
        <v>5016114</v>
      </c>
      <c r="B30" s="13">
        <v>7</v>
      </c>
      <c r="C30" s="13">
        <v>12</v>
      </c>
      <c r="D30" s="13">
        <v>3</v>
      </c>
    </row>
    <row r="31" spans="1:4">
      <c r="A31" s="13">
        <v>5040676</v>
      </c>
      <c r="B31" s="13">
        <v>5</v>
      </c>
      <c r="C31" s="13">
        <v>10</v>
      </c>
      <c r="D31" s="13">
        <v>0</v>
      </c>
    </row>
    <row r="32" spans="1:4">
      <c r="A32" s="13">
        <v>5040676</v>
      </c>
      <c r="B32" s="13">
        <v>7</v>
      </c>
      <c r="C32" s="13">
        <v>10</v>
      </c>
      <c r="D32" s="13">
        <v>3</v>
      </c>
    </row>
    <row r="33" spans="1:4">
      <c r="A33" s="13">
        <v>5046759</v>
      </c>
      <c r="B33" s="13">
        <v>5</v>
      </c>
      <c r="C33" s="13">
        <v>10</v>
      </c>
      <c r="D33" s="13">
        <v>0</v>
      </c>
    </row>
    <row r="34" spans="1:4">
      <c r="A34" s="13">
        <v>5046759</v>
      </c>
      <c r="B34" s="13">
        <v>7</v>
      </c>
      <c r="C34" s="13">
        <v>10</v>
      </c>
      <c r="D34" s="13">
        <v>1</v>
      </c>
    </row>
    <row r="35" spans="1:4">
      <c r="A35" s="13">
        <v>5052169</v>
      </c>
      <c r="B35" s="13">
        <v>5</v>
      </c>
      <c r="C35" s="13">
        <v>10</v>
      </c>
      <c r="D35" s="13">
        <v>0</v>
      </c>
    </row>
    <row r="36" spans="1:4">
      <c r="A36" s="13">
        <v>5052169</v>
      </c>
      <c r="B36" s="13">
        <v>7</v>
      </c>
      <c r="C36" s="13">
        <v>10</v>
      </c>
      <c r="D36" s="13">
        <v>1</v>
      </c>
    </row>
    <row r="37" spans="1:4">
      <c r="A37" s="13">
        <v>5103114</v>
      </c>
      <c r="B37" s="13">
        <v>5</v>
      </c>
      <c r="C37" s="13">
        <v>11</v>
      </c>
      <c r="D37" s="13">
        <v>0</v>
      </c>
    </row>
    <row r="38" spans="1:4">
      <c r="A38" s="13">
        <v>5103114</v>
      </c>
      <c r="B38" s="13">
        <v>7</v>
      </c>
      <c r="C38" s="13">
        <v>11</v>
      </c>
      <c r="D38" s="13">
        <v>1</v>
      </c>
    </row>
    <row r="39" spans="1:4">
      <c r="A39" s="13">
        <v>5103252</v>
      </c>
      <c r="B39" s="13">
        <v>5</v>
      </c>
      <c r="C39" s="13">
        <v>11</v>
      </c>
      <c r="D39" s="13">
        <v>0</v>
      </c>
    </row>
    <row r="40" spans="1:4">
      <c r="A40" s="13">
        <v>5103252</v>
      </c>
      <c r="B40" s="13">
        <v>7</v>
      </c>
      <c r="C40" s="13">
        <v>11</v>
      </c>
      <c r="D40" s="13">
        <v>1</v>
      </c>
    </row>
    <row r="41" spans="1:4">
      <c r="A41" s="13">
        <v>5115218</v>
      </c>
      <c r="B41" s="13">
        <v>5</v>
      </c>
      <c r="C41" s="13">
        <v>11</v>
      </c>
      <c r="D41" s="13">
        <v>0</v>
      </c>
    </row>
    <row r="42" spans="1:4">
      <c r="A42" s="13">
        <v>5115218</v>
      </c>
      <c r="B42" s="13">
        <v>7</v>
      </c>
      <c r="C42" s="13">
        <v>11</v>
      </c>
      <c r="D42" s="13">
        <v>1</v>
      </c>
    </row>
    <row r="43" spans="1:4">
      <c r="A43" s="13">
        <v>5116217</v>
      </c>
      <c r="B43" s="13">
        <v>5</v>
      </c>
      <c r="C43" s="13">
        <v>10</v>
      </c>
      <c r="D43" s="13">
        <v>0</v>
      </c>
    </row>
    <row r="44" spans="1:4">
      <c r="A44" s="13">
        <v>5116217</v>
      </c>
      <c r="B44" s="13">
        <v>7</v>
      </c>
      <c r="C44" s="13">
        <v>10</v>
      </c>
      <c r="D44" s="13">
        <v>1</v>
      </c>
    </row>
    <row r="45" spans="1:4">
      <c r="A45" s="13">
        <v>5016078</v>
      </c>
      <c r="B45" s="13">
        <v>6</v>
      </c>
      <c r="C45" s="13">
        <v>12</v>
      </c>
      <c r="D45" s="13">
        <v>0</v>
      </c>
    </row>
    <row r="46" spans="1:4">
      <c r="A46" s="13">
        <v>5016078</v>
      </c>
      <c r="B46" s="13">
        <v>7</v>
      </c>
      <c r="C46" s="13">
        <v>12</v>
      </c>
      <c r="D46" s="13">
        <v>3</v>
      </c>
    </row>
    <row r="47" spans="1:4">
      <c r="A47" s="13">
        <v>5024958</v>
      </c>
      <c r="B47" s="13">
        <v>6</v>
      </c>
      <c r="C47" s="13">
        <v>14</v>
      </c>
      <c r="D47" s="13">
        <v>0</v>
      </c>
    </row>
    <row r="48" spans="1:4">
      <c r="A48" s="13">
        <v>5024959</v>
      </c>
      <c r="B48" s="13">
        <v>6</v>
      </c>
      <c r="C48" s="13">
        <v>14</v>
      </c>
      <c r="D48" s="13">
        <v>0</v>
      </c>
    </row>
    <row r="49" spans="1:4">
      <c r="A49" s="13">
        <v>5024961</v>
      </c>
      <c r="B49" s="13">
        <v>6</v>
      </c>
      <c r="C49" s="13">
        <v>14</v>
      </c>
      <c r="D49" s="13">
        <v>0</v>
      </c>
    </row>
    <row r="50" spans="1:4">
      <c r="A50" s="13">
        <v>5032620</v>
      </c>
      <c r="B50" s="13">
        <v>6</v>
      </c>
      <c r="C50" s="13">
        <v>14</v>
      </c>
      <c r="D50" s="13">
        <v>0</v>
      </c>
    </row>
    <row r="51" spans="1:4">
      <c r="A51" s="13">
        <v>5032620</v>
      </c>
      <c r="B51" s="13">
        <v>7</v>
      </c>
      <c r="C51" s="13">
        <v>14</v>
      </c>
      <c r="D51" s="13">
        <v>3</v>
      </c>
    </row>
    <row r="52" spans="1:4">
      <c r="A52" s="13">
        <v>5032621</v>
      </c>
      <c r="B52" s="13">
        <v>6</v>
      </c>
      <c r="C52" s="13">
        <v>14</v>
      </c>
      <c r="D52" s="13">
        <v>0</v>
      </c>
    </row>
    <row r="53" spans="1:4">
      <c r="A53" s="13">
        <v>5032621</v>
      </c>
      <c r="B53" s="13">
        <v>7</v>
      </c>
      <c r="C53" s="13">
        <v>14</v>
      </c>
      <c r="D53" s="13">
        <v>3</v>
      </c>
    </row>
    <row r="54" spans="1:4">
      <c r="A54" s="13">
        <v>5036676</v>
      </c>
      <c r="B54" s="13">
        <v>5</v>
      </c>
      <c r="C54" s="13">
        <v>10</v>
      </c>
      <c r="D54" s="13">
        <v>0</v>
      </c>
    </row>
    <row r="55" spans="1:4">
      <c r="A55" s="13">
        <v>5036676</v>
      </c>
      <c r="B55" s="13">
        <v>7</v>
      </c>
      <c r="C55" s="13">
        <v>10</v>
      </c>
      <c r="D55" s="13">
        <v>1</v>
      </c>
    </row>
    <row r="56" spans="1:4">
      <c r="A56" s="13">
        <v>5036677</v>
      </c>
      <c r="B56" s="13">
        <v>5</v>
      </c>
      <c r="C56" s="13">
        <v>10</v>
      </c>
      <c r="D56" s="13">
        <v>0</v>
      </c>
    </row>
    <row r="57" spans="1:4">
      <c r="A57" s="13">
        <v>5036677</v>
      </c>
      <c r="B57" s="13">
        <v>7</v>
      </c>
      <c r="C57" s="13">
        <v>10</v>
      </c>
      <c r="D57" s="13">
        <v>1</v>
      </c>
    </row>
    <row r="58" spans="1:4">
      <c r="A58" s="13">
        <v>5038068</v>
      </c>
      <c r="B58" s="13">
        <v>5</v>
      </c>
      <c r="C58" s="13">
        <v>10</v>
      </c>
      <c r="D58" s="13">
        <v>0</v>
      </c>
    </row>
    <row r="59" spans="1:4">
      <c r="A59" s="13">
        <v>5038068</v>
      </c>
      <c r="B59" s="13">
        <v>7</v>
      </c>
      <c r="C59" s="13">
        <v>10</v>
      </c>
      <c r="D59" s="13">
        <v>1</v>
      </c>
    </row>
    <row r="60" spans="1:4">
      <c r="A60" s="13">
        <v>5040554</v>
      </c>
      <c r="B60" s="13">
        <v>5</v>
      </c>
      <c r="C60" s="13">
        <v>10</v>
      </c>
      <c r="D60" s="13">
        <v>0</v>
      </c>
    </row>
    <row r="61" spans="1:4">
      <c r="A61" s="13">
        <v>5040554</v>
      </c>
      <c r="B61" s="13">
        <v>7</v>
      </c>
      <c r="C61" s="13">
        <v>10</v>
      </c>
      <c r="D61" s="13">
        <v>1</v>
      </c>
    </row>
    <row r="62" spans="1:4">
      <c r="A62" s="13">
        <v>5040675</v>
      </c>
      <c r="B62" s="13">
        <v>5</v>
      </c>
      <c r="C62" s="13">
        <v>10</v>
      </c>
      <c r="D62" s="13">
        <v>0</v>
      </c>
    </row>
    <row r="63" spans="1:4">
      <c r="A63" s="13">
        <v>5040675</v>
      </c>
      <c r="B63" s="13">
        <v>7</v>
      </c>
      <c r="C63" s="13">
        <v>10</v>
      </c>
      <c r="D63" s="13">
        <v>1</v>
      </c>
    </row>
    <row r="64" spans="1:4">
      <c r="A64" s="13">
        <v>5041384</v>
      </c>
      <c r="B64" s="13">
        <v>6</v>
      </c>
      <c r="C64" s="13">
        <v>14</v>
      </c>
      <c r="D64" s="13">
        <v>0</v>
      </c>
    </row>
    <row r="65" spans="1:4">
      <c r="A65" s="13">
        <v>5041384</v>
      </c>
      <c r="B65" s="13">
        <v>7</v>
      </c>
      <c r="C65" s="13">
        <v>14</v>
      </c>
      <c r="D65" s="13">
        <v>3</v>
      </c>
    </row>
    <row r="66" spans="1:4">
      <c r="A66" s="13">
        <v>5041385</v>
      </c>
      <c r="B66" s="13">
        <v>6</v>
      </c>
      <c r="C66" s="13">
        <v>14</v>
      </c>
      <c r="D66" s="13">
        <v>0</v>
      </c>
    </row>
    <row r="67" spans="1:4">
      <c r="A67" s="13">
        <v>5041385</v>
      </c>
      <c r="B67" s="13">
        <v>7</v>
      </c>
      <c r="C67" s="13">
        <v>14</v>
      </c>
      <c r="D67" s="13">
        <v>3</v>
      </c>
    </row>
    <row r="68" spans="1:4">
      <c r="A68" s="13">
        <v>5041386</v>
      </c>
      <c r="B68" s="13">
        <v>6</v>
      </c>
      <c r="C68" s="13">
        <v>14</v>
      </c>
      <c r="D68" s="13">
        <v>0</v>
      </c>
    </row>
    <row r="69" spans="1:4">
      <c r="A69" s="13">
        <v>5041386</v>
      </c>
      <c r="B69" s="13">
        <v>7</v>
      </c>
      <c r="C69" s="13">
        <v>14</v>
      </c>
      <c r="D69" s="13">
        <v>3</v>
      </c>
    </row>
    <row r="70" spans="1:4">
      <c r="A70" s="13">
        <v>5043653</v>
      </c>
      <c r="B70" s="13">
        <v>6</v>
      </c>
      <c r="C70" s="13">
        <v>14</v>
      </c>
      <c r="D70" s="13">
        <v>0</v>
      </c>
    </row>
    <row r="71" spans="1:4">
      <c r="A71" s="13">
        <v>5043653</v>
      </c>
      <c r="B71" s="13">
        <v>7</v>
      </c>
      <c r="C71" s="13">
        <v>14</v>
      </c>
      <c r="D71" s="13">
        <v>3</v>
      </c>
    </row>
    <row r="72" spans="1:4">
      <c r="A72" s="13">
        <v>5043654</v>
      </c>
      <c r="B72" s="13">
        <v>6</v>
      </c>
      <c r="C72" s="13">
        <v>14</v>
      </c>
      <c r="D72" s="13">
        <v>0</v>
      </c>
    </row>
    <row r="73" spans="1:4">
      <c r="A73" s="13">
        <v>5043654</v>
      </c>
      <c r="B73" s="13">
        <v>7</v>
      </c>
      <c r="C73" s="13">
        <v>14</v>
      </c>
      <c r="D73" s="13">
        <v>3</v>
      </c>
    </row>
    <row r="74" spans="1:4">
      <c r="A74" s="13">
        <v>5046757</v>
      </c>
      <c r="B74" s="13">
        <v>5</v>
      </c>
      <c r="C74" s="13">
        <v>10</v>
      </c>
      <c r="D74" s="13">
        <v>0</v>
      </c>
    </row>
    <row r="75" spans="1:4">
      <c r="A75" s="13">
        <v>5046757</v>
      </c>
      <c r="B75" s="13">
        <v>7</v>
      </c>
      <c r="C75" s="13">
        <v>10</v>
      </c>
      <c r="D75" s="13">
        <v>1</v>
      </c>
    </row>
    <row r="76" spans="1:4">
      <c r="A76" s="13">
        <v>5047563</v>
      </c>
      <c r="B76" s="13">
        <v>6</v>
      </c>
      <c r="C76" s="13">
        <v>14</v>
      </c>
      <c r="D76" s="13">
        <v>0</v>
      </c>
    </row>
    <row r="77" spans="1:4">
      <c r="A77" s="13">
        <v>5047563</v>
      </c>
      <c r="B77" s="13">
        <v>7</v>
      </c>
      <c r="C77" s="13">
        <v>14</v>
      </c>
      <c r="D77" s="13">
        <v>3</v>
      </c>
    </row>
    <row r="78" spans="1:4">
      <c r="A78" s="13">
        <v>5052936</v>
      </c>
      <c r="B78" s="13">
        <v>5</v>
      </c>
      <c r="C78" s="13">
        <v>10</v>
      </c>
      <c r="D78" s="13">
        <v>0</v>
      </c>
    </row>
    <row r="79" spans="1:4">
      <c r="A79" s="13">
        <v>5052936</v>
      </c>
      <c r="B79" s="13">
        <v>7</v>
      </c>
      <c r="C79" s="13">
        <v>10</v>
      </c>
      <c r="D79" s="13">
        <v>1</v>
      </c>
    </row>
    <row r="80" spans="1:4">
      <c r="A80" s="13">
        <v>5053400</v>
      </c>
      <c r="B80" s="13">
        <v>5</v>
      </c>
      <c r="C80" s="13">
        <v>10</v>
      </c>
      <c r="D80" s="13">
        <v>0</v>
      </c>
    </row>
    <row r="81" spans="1:4">
      <c r="A81" s="13">
        <v>5053400</v>
      </c>
      <c r="B81" s="13">
        <v>7</v>
      </c>
      <c r="C81" s="13">
        <v>10</v>
      </c>
      <c r="D81" s="13">
        <v>1</v>
      </c>
    </row>
    <row r="82" spans="1:4">
      <c r="A82" s="13">
        <v>5053616</v>
      </c>
      <c r="B82" s="13">
        <v>5</v>
      </c>
      <c r="C82" s="13">
        <v>10</v>
      </c>
      <c r="D82" s="13">
        <v>0</v>
      </c>
    </row>
    <row r="83" spans="1:4">
      <c r="A83" s="13">
        <v>5053616</v>
      </c>
      <c r="B83" s="13">
        <v>7</v>
      </c>
      <c r="C83" s="13">
        <v>10</v>
      </c>
      <c r="D83" s="13">
        <v>1</v>
      </c>
    </row>
    <row r="84" spans="1:4">
      <c r="A84" s="13">
        <v>5054432</v>
      </c>
      <c r="B84" s="13">
        <v>5</v>
      </c>
      <c r="C84" s="13">
        <v>10</v>
      </c>
      <c r="D84" s="13">
        <v>0</v>
      </c>
    </row>
    <row r="85" spans="1:4">
      <c r="A85" s="13">
        <v>5054432</v>
      </c>
      <c r="B85" s="13">
        <v>7</v>
      </c>
      <c r="C85" s="13">
        <v>10</v>
      </c>
      <c r="D85" s="13">
        <v>1</v>
      </c>
    </row>
    <row r="86" spans="1:4">
      <c r="A86" s="13">
        <v>5058522</v>
      </c>
      <c r="B86" s="13">
        <v>5</v>
      </c>
      <c r="C86" s="13">
        <v>10</v>
      </c>
      <c r="D86" s="13">
        <v>0</v>
      </c>
    </row>
    <row r="87" spans="1:4">
      <c r="A87" s="13">
        <v>5058522</v>
      </c>
      <c r="B87" s="13">
        <v>7</v>
      </c>
      <c r="C87" s="13">
        <v>10</v>
      </c>
      <c r="D87" s="13">
        <v>1</v>
      </c>
    </row>
    <row r="88" spans="1:4">
      <c r="A88" s="13">
        <v>5058523</v>
      </c>
      <c r="B88" s="13">
        <v>5</v>
      </c>
      <c r="C88" s="13">
        <v>10</v>
      </c>
      <c r="D88" s="13">
        <v>0</v>
      </c>
    </row>
    <row r="89" spans="1:4">
      <c r="A89" s="13">
        <v>5058523</v>
      </c>
      <c r="B89" s="13">
        <v>7</v>
      </c>
      <c r="C89" s="13">
        <v>10</v>
      </c>
      <c r="D89" s="13">
        <v>1</v>
      </c>
    </row>
    <row r="90" spans="1:4">
      <c r="A90" s="13">
        <v>5059154</v>
      </c>
      <c r="B90" s="13">
        <v>5</v>
      </c>
      <c r="C90" s="13">
        <v>10</v>
      </c>
      <c r="D90" s="13">
        <v>0</v>
      </c>
    </row>
    <row r="91" spans="1:4">
      <c r="A91" s="13">
        <v>5059154</v>
      </c>
      <c r="B91" s="13">
        <v>7</v>
      </c>
      <c r="C91" s="13">
        <v>10</v>
      </c>
      <c r="D91" s="13">
        <v>1</v>
      </c>
    </row>
    <row r="92" spans="1:4">
      <c r="A92" s="13">
        <v>5064280</v>
      </c>
      <c r="B92" s="13">
        <v>5</v>
      </c>
      <c r="C92" s="13">
        <v>10</v>
      </c>
      <c r="D92" s="13">
        <v>0</v>
      </c>
    </row>
    <row r="93" spans="1:4">
      <c r="A93" s="13">
        <v>5064280</v>
      </c>
      <c r="B93" s="13">
        <v>7</v>
      </c>
      <c r="C93" s="13">
        <v>10</v>
      </c>
      <c r="D93" s="13">
        <v>1</v>
      </c>
    </row>
    <row r="94" spans="1:4">
      <c r="A94" s="13">
        <v>5064557</v>
      </c>
      <c r="B94" s="13">
        <v>6</v>
      </c>
      <c r="C94" s="13">
        <v>14</v>
      </c>
      <c r="D94" s="13">
        <v>0</v>
      </c>
    </row>
    <row r="95" spans="1:4">
      <c r="A95" s="13">
        <v>5064557</v>
      </c>
      <c r="B95" s="13">
        <v>7</v>
      </c>
      <c r="C95" s="13">
        <v>14</v>
      </c>
      <c r="D95" s="13">
        <v>3</v>
      </c>
    </row>
    <row r="96" spans="1:4">
      <c r="A96" s="13">
        <v>5075019</v>
      </c>
      <c r="B96" s="13">
        <v>6</v>
      </c>
      <c r="C96" s="13">
        <v>14</v>
      </c>
      <c r="D96" s="13">
        <v>0</v>
      </c>
    </row>
    <row r="97" spans="1:4">
      <c r="A97" s="13">
        <v>5075019</v>
      </c>
      <c r="B97" s="13">
        <v>7</v>
      </c>
      <c r="C97" s="13">
        <v>14</v>
      </c>
      <c r="D97" s="13">
        <v>3</v>
      </c>
    </row>
    <row r="98" spans="1:4">
      <c r="A98" s="13">
        <v>5078546</v>
      </c>
      <c r="B98" s="13">
        <v>5</v>
      </c>
      <c r="C98" s="13">
        <v>10</v>
      </c>
      <c r="D98" s="13">
        <v>0</v>
      </c>
    </row>
    <row r="99" spans="1:4">
      <c r="A99" s="13">
        <v>5078546</v>
      </c>
      <c r="B99" s="13">
        <v>7</v>
      </c>
      <c r="C99" s="13">
        <v>10</v>
      </c>
      <c r="D99" s="13">
        <v>1</v>
      </c>
    </row>
    <row r="100" spans="1:4">
      <c r="A100" s="13">
        <v>5078548</v>
      </c>
      <c r="B100" s="13">
        <v>5</v>
      </c>
      <c r="C100" s="13">
        <v>10</v>
      </c>
      <c r="D100" s="13">
        <v>0</v>
      </c>
    </row>
    <row r="101" spans="1:4">
      <c r="A101" s="13">
        <v>5078548</v>
      </c>
      <c r="B101" s="13">
        <v>7</v>
      </c>
      <c r="C101" s="13">
        <v>10</v>
      </c>
      <c r="D101" s="13">
        <v>1</v>
      </c>
    </row>
    <row r="102" spans="1:4">
      <c r="A102" s="13">
        <v>5078550</v>
      </c>
      <c r="B102" s="13">
        <v>5</v>
      </c>
      <c r="C102" s="13">
        <v>10</v>
      </c>
      <c r="D102" s="13">
        <v>0</v>
      </c>
    </row>
    <row r="103" spans="1:4">
      <c r="A103" s="13">
        <v>5078550</v>
      </c>
      <c r="B103" s="13">
        <v>7</v>
      </c>
      <c r="C103" s="13">
        <v>10</v>
      </c>
      <c r="D103" s="13">
        <v>1</v>
      </c>
    </row>
    <row r="104" spans="1:4">
      <c r="A104" s="13">
        <v>5078622</v>
      </c>
      <c r="B104" s="13">
        <v>5</v>
      </c>
      <c r="C104" s="13">
        <v>10</v>
      </c>
      <c r="D104" s="13">
        <v>0</v>
      </c>
    </row>
    <row r="105" spans="1:4">
      <c r="A105" s="13">
        <v>5078622</v>
      </c>
      <c r="B105" s="13">
        <v>7</v>
      </c>
      <c r="C105" s="13">
        <v>10</v>
      </c>
      <c r="D105" s="13">
        <v>1</v>
      </c>
    </row>
    <row r="106" spans="1:4">
      <c r="A106" s="13">
        <v>5081906</v>
      </c>
      <c r="B106" s="13">
        <v>5</v>
      </c>
      <c r="C106" s="13">
        <v>10</v>
      </c>
      <c r="D106" s="13">
        <v>0</v>
      </c>
    </row>
    <row r="107" spans="1:4">
      <c r="A107" s="13">
        <v>5081906</v>
      </c>
      <c r="B107" s="13">
        <v>7</v>
      </c>
      <c r="C107" s="13">
        <v>10</v>
      </c>
      <c r="D107" s="13">
        <v>1</v>
      </c>
    </row>
    <row r="108" spans="1:4">
      <c r="A108" s="13">
        <v>5081907</v>
      </c>
      <c r="B108" s="13">
        <v>5</v>
      </c>
      <c r="C108" s="13">
        <v>10</v>
      </c>
      <c r="D108" s="13">
        <v>0</v>
      </c>
    </row>
    <row r="109" spans="1:4">
      <c r="A109" s="13">
        <v>5081907</v>
      </c>
      <c r="B109" s="13">
        <v>7</v>
      </c>
      <c r="C109" s="13">
        <v>10</v>
      </c>
      <c r="D109" s="13">
        <v>1</v>
      </c>
    </row>
    <row r="110" spans="1:4">
      <c r="A110" s="13">
        <v>5089676</v>
      </c>
      <c r="B110" s="13">
        <v>5</v>
      </c>
      <c r="C110" s="13">
        <v>10</v>
      </c>
      <c r="D110" s="13">
        <v>0</v>
      </c>
    </row>
    <row r="111" spans="1:4">
      <c r="A111" s="13">
        <v>5089676</v>
      </c>
      <c r="B111" s="13">
        <v>7</v>
      </c>
      <c r="C111" s="13">
        <v>10</v>
      </c>
      <c r="D111" s="13">
        <v>1</v>
      </c>
    </row>
    <row r="112" spans="1:4">
      <c r="A112" s="13">
        <v>5100034</v>
      </c>
      <c r="B112" s="13">
        <v>5</v>
      </c>
      <c r="C112" s="13">
        <v>11</v>
      </c>
      <c r="D112" s="13">
        <v>0</v>
      </c>
    </row>
    <row r="113" spans="1:4">
      <c r="A113" s="13">
        <v>5100034</v>
      </c>
      <c r="B113" s="13">
        <v>7</v>
      </c>
      <c r="C113" s="13">
        <v>11</v>
      </c>
      <c r="D113" s="13">
        <v>1</v>
      </c>
    </row>
    <row r="114" spans="1:4">
      <c r="A114" s="13">
        <v>5100035</v>
      </c>
      <c r="B114" s="13">
        <v>5</v>
      </c>
      <c r="C114" s="13">
        <v>11</v>
      </c>
      <c r="D114" s="13">
        <v>0</v>
      </c>
    </row>
    <row r="115" spans="1:4">
      <c r="A115" s="13">
        <v>5100035</v>
      </c>
      <c r="B115" s="13">
        <v>7</v>
      </c>
      <c r="C115" s="13">
        <v>11</v>
      </c>
      <c r="D115" s="13">
        <v>1</v>
      </c>
    </row>
    <row r="116" spans="1:4">
      <c r="A116" s="13">
        <v>5100036</v>
      </c>
      <c r="B116" s="13">
        <v>5</v>
      </c>
      <c r="C116" s="13">
        <v>11</v>
      </c>
      <c r="D116" s="13">
        <v>0</v>
      </c>
    </row>
    <row r="117" spans="1:4">
      <c r="A117" s="13">
        <v>5100036</v>
      </c>
      <c r="B117" s="13">
        <v>7</v>
      </c>
      <c r="C117" s="13">
        <v>11</v>
      </c>
      <c r="D117" s="13">
        <v>1</v>
      </c>
    </row>
    <row r="118" spans="1:4">
      <c r="A118" s="13">
        <v>5100037</v>
      </c>
      <c r="B118" s="13">
        <v>5</v>
      </c>
      <c r="C118" s="13">
        <v>11</v>
      </c>
      <c r="D118" s="13">
        <v>0</v>
      </c>
    </row>
    <row r="119" spans="1:4">
      <c r="A119" s="13">
        <v>5100037</v>
      </c>
      <c r="B119" s="13">
        <v>7</v>
      </c>
      <c r="C119" s="13">
        <v>11</v>
      </c>
      <c r="D119" s="13">
        <v>1</v>
      </c>
    </row>
    <row r="120" spans="1:4">
      <c r="A120" s="13">
        <v>5100038</v>
      </c>
      <c r="B120" s="13">
        <v>5</v>
      </c>
      <c r="C120" s="13">
        <v>11</v>
      </c>
      <c r="D120" s="13">
        <v>0</v>
      </c>
    </row>
    <row r="121" spans="1:4">
      <c r="A121" s="13">
        <v>5100038</v>
      </c>
      <c r="B121" s="13">
        <v>7</v>
      </c>
      <c r="C121" s="13">
        <v>11</v>
      </c>
      <c r="D121" s="13">
        <v>1</v>
      </c>
    </row>
    <row r="122" spans="1:4">
      <c r="A122" s="13">
        <v>5100039</v>
      </c>
      <c r="B122" s="13">
        <v>5</v>
      </c>
      <c r="C122" s="13">
        <v>11</v>
      </c>
      <c r="D122" s="13">
        <v>0</v>
      </c>
    </row>
    <row r="123" spans="1:4">
      <c r="A123" s="13">
        <v>5100039</v>
      </c>
      <c r="B123" s="13">
        <v>7</v>
      </c>
      <c r="C123" s="13">
        <v>11</v>
      </c>
      <c r="D123" s="13">
        <v>1</v>
      </c>
    </row>
    <row r="124" spans="1:4">
      <c r="A124" s="13">
        <v>5100041</v>
      </c>
      <c r="B124" s="13">
        <v>5</v>
      </c>
      <c r="C124" s="13">
        <v>11</v>
      </c>
      <c r="D124" s="13">
        <v>0</v>
      </c>
    </row>
    <row r="125" spans="1:4">
      <c r="A125" s="13">
        <v>5100041</v>
      </c>
      <c r="B125" s="13">
        <v>7</v>
      </c>
      <c r="C125" s="13">
        <v>11</v>
      </c>
      <c r="D125" s="13">
        <v>1</v>
      </c>
    </row>
    <row r="126" spans="1:4">
      <c r="A126" s="13">
        <v>5107973</v>
      </c>
      <c r="B126" s="13">
        <v>6</v>
      </c>
      <c r="C126" s="13">
        <v>14</v>
      </c>
      <c r="D126" s="13">
        <v>0</v>
      </c>
    </row>
    <row r="127" spans="1:4">
      <c r="A127" s="13">
        <v>5107973</v>
      </c>
      <c r="B127" s="13">
        <v>7</v>
      </c>
      <c r="C127" s="13">
        <v>14</v>
      </c>
      <c r="D127" s="13">
        <v>3</v>
      </c>
    </row>
    <row r="128" spans="1:4">
      <c r="A128" s="13">
        <v>5112918</v>
      </c>
      <c r="B128" s="13">
        <v>5</v>
      </c>
      <c r="C128" s="13">
        <v>11</v>
      </c>
      <c r="D128" s="13">
        <v>0</v>
      </c>
    </row>
    <row r="129" spans="1:4">
      <c r="A129" s="13">
        <v>5112918</v>
      </c>
      <c r="B129" s="13">
        <v>7</v>
      </c>
      <c r="C129" s="13">
        <v>11</v>
      </c>
      <c r="D129" s="13">
        <v>1</v>
      </c>
    </row>
    <row r="130" spans="1:4">
      <c r="A130" s="13">
        <v>5115215</v>
      </c>
      <c r="B130" s="13">
        <v>5</v>
      </c>
      <c r="C130" s="13">
        <v>10</v>
      </c>
      <c r="D130" s="13">
        <v>0</v>
      </c>
    </row>
    <row r="131" spans="1:4">
      <c r="A131" s="13">
        <v>5115215</v>
      </c>
      <c r="B131" s="13">
        <v>7</v>
      </c>
      <c r="C131" s="13">
        <v>10</v>
      </c>
      <c r="D131" s="13">
        <v>1</v>
      </c>
    </row>
    <row r="132" spans="1:4">
      <c r="A132" s="13">
        <v>5115216</v>
      </c>
      <c r="B132" s="13">
        <v>5</v>
      </c>
      <c r="C132" s="13">
        <v>10</v>
      </c>
      <c r="D132" s="13">
        <v>0</v>
      </c>
    </row>
    <row r="133" spans="1:4">
      <c r="A133" s="13">
        <v>5115216</v>
      </c>
      <c r="B133" s="13">
        <v>7</v>
      </c>
      <c r="C133" s="13">
        <v>10</v>
      </c>
      <c r="D133" s="13">
        <v>1</v>
      </c>
    </row>
    <row r="134" spans="1:4">
      <c r="A134" s="13">
        <v>5115217</v>
      </c>
      <c r="B134" s="13">
        <v>5</v>
      </c>
      <c r="C134" s="13">
        <v>10</v>
      </c>
      <c r="D134" s="13">
        <v>0</v>
      </c>
    </row>
    <row r="135" spans="1:4">
      <c r="A135" s="13">
        <v>5115217</v>
      </c>
      <c r="B135" s="13">
        <v>7</v>
      </c>
      <c r="C135" s="13">
        <v>10</v>
      </c>
      <c r="D135" s="13">
        <v>1</v>
      </c>
    </row>
    <row r="136" spans="1:4">
      <c r="A136" s="13">
        <v>5115219</v>
      </c>
      <c r="B136" s="13">
        <v>5</v>
      </c>
      <c r="C136" s="13">
        <v>10</v>
      </c>
      <c r="D136" s="13">
        <v>0</v>
      </c>
    </row>
    <row r="137" spans="1:4">
      <c r="A137" s="13">
        <v>5115219</v>
      </c>
      <c r="B137" s="13">
        <v>7</v>
      </c>
      <c r="C137" s="13">
        <v>10</v>
      </c>
      <c r="D137" s="13">
        <v>1</v>
      </c>
    </row>
    <row r="138" spans="1:4">
      <c r="A138" s="13">
        <v>5115220</v>
      </c>
      <c r="B138" s="13">
        <v>5</v>
      </c>
      <c r="C138" s="13">
        <v>10</v>
      </c>
      <c r="D138" s="13">
        <v>0</v>
      </c>
    </row>
    <row r="139" spans="1:4">
      <c r="A139" s="13">
        <v>5115220</v>
      </c>
      <c r="B139" s="13">
        <v>7</v>
      </c>
      <c r="C139" s="13">
        <v>10</v>
      </c>
      <c r="D139" s="13">
        <v>1</v>
      </c>
    </row>
    <row r="140" spans="1:4">
      <c r="A140" s="13">
        <v>5115271</v>
      </c>
      <c r="B140" s="13">
        <v>5</v>
      </c>
      <c r="C140" s="13">
        <v>10</v>
      </c>
      <c r="D140" s="13">
        <v>0</v>
      </c>
    </row>
    <row r="141" spans="1:4">
      <c r="A141" s="13">
        <v>5115271</v>
      </c>
      <c r="B141" s="13">
        <v>7</v>
      </c>
      <c r="C141" s="13">
        <v>10</v>
      </c>
      <c r="D141" s="13">
        <v>1</v>
      </c>
    </row>
    <row r="142" spans="1:4">
      <c r="A142" s="13">
        <v>5115272</v>
      </c>
      <c r="B142" s="13">
        <v>5</v>
      </c>
      <c r="C142" s="13">
        <v>10</v>
      </c>
      <c r="D142" s="13">
        <v>0</v>
      </c>
    </row>
    <row r="143" spans="1:4">
      <c r="A143" s="13">
        <v>5115272</v>
      </c>
      <c r="B143" s="13">
        <v>7</v>
      </c>
      <c r="C143" s="13">
        <v>10</v>
      </c>
      <c r="D143" s="13">
        <v>1</v>
      </c>
    </row>
    <row r="144" spans="1:4">
      <c r="A144" s="13">
        <v>5116197</v>
      </c>
      <c r="B144" s="13">
        <v>5</v>
      </c>
      <c r="C144" s="13">
        <v>10</v>
      </c>
      <c r="D144" s="13">
        <v>0</v>
      </c>
    </row>
    <row r="145" spans="1:4">
      <c r="A145" s="13">
        <v>5116197</v>
      </c>
      <c r="B145" s="13">
        <v>6</v>
      </c>
      <c r="C145" s="13">
        <v>10</v>
      </c>
      <c r="D145" s="13">
        <v>0</v>
      </c>
    </row>
    <row r="146" spans="1:4">
      <c r="A146" s="13">
        <v>5116198</v>
      </c>
      <c r="B146" s="13">
        <v>5</v>
      </c>
      <c r="C146" s="13">
        <v>10</v>
      </c>
      <c r="D146" s="13">
        <v>0</v>
      </c>
    </row>
    <row r="147" spans="1:4">
      <c r="A147" s="13">
        <v>5116198</v>
      </c>
      <c r="B147" s="13">
        <v>7</v>
      </c>
      <c r="C147" s="13">
        <v>10</v>
      </c>
      <c r="D147" s="13">
        <v>1</v>
      </c>
    </row>
    <row r="148" spans="1:4">
      <c r="A148" s="13">
        <v>5116199</v>
      </c>
      <c r="B148" s="13">
        <v>5</v>
      </c>
      <c r="C148" s="13">
        <v>10</v>
      </c>
      <c r="D148" s="13">
        <v>0</v>
      </c>
    </row>
    <row r="149" spans="1:4">
      <c r="A149" s="13">
        <v>5116199</v>
      </c>
      <c r="B149" s="13">
        <v>7</v>
      </c>
      <c r="C149" s="13">
        <v>10</v>
      </c>
      <c r="D149" s="13">
        <v>1</v>
      </c>
    </row>
    <row r="150" spans="1:4">
      <c r="A150" s="13">
        <v>5116200</v>
      </c>
      <c r="B150" s="13">
        <v>5</v>
      </c>
      <c r="C150" s="13">
        <v>10</v>
      </c>
      <c r="D150" s="13">
        <v>0</v>
      </c>
    </row>
    <row r="151" spans="1:4">
      <c r="A151" s="13">
        <v>5116200</v>
      </c>
      <c r="B151" s="13">
        <v>6</v>
      </c>
      <c r="C151" s="13">
        <v>10</v>
      </c>
      <c r="D151" s="13">
        <v>0</v>
      </c>
    </row>
    <row r="152" spans="1:4">
      <c r="A152" s="13">
        <v>5116211</v>
      </c>
      <c r="B152" s="13">
        <v>5</v>
      </c>
      <c r="C152" s="13">
        <v>10</v>
      </c>
      <c r="D152" s="13">
        <v>0</v>
      </c>
    </row>
    <row r="153" spans="1:4">
      <c r="A153" s="13">
        <v>5116211</v>
      </c>
      <c r="B153" s="13">
        <v>7</v>
      </c>
      <c r="C153" s="13">
        <v>10</v>
      </c>
      <c r="D153" s="13">
        <v>1</v>
      </c>
    </row>
    <row r="154" spans="1:4">
      <c r="A154" s="13">
        <v>5116212</v>
      </c>
      <c r="B154" s="13">
        <v>5</v>
      </c>
      <c r="C154" s="13">
        <v>10</v>
      </c>
      <c r="D154" s="13">
        <v>0</v>
      </c>
    </row>
    <row r="155" spans="1:4">
      <c r="A155" s="13">
        <v>5116212</v>
      </c>
      <c r="B155" s="13">
        <v>7</v>
      </c>
      <c r="C155" s="13">
        <v>10</v>
      </c>
      <c r="D155" s="13">
        <v>1</v>
      </c>
    </row>
    <row r="156" spans="1:4">
      <c r="A156" s="13">
        <v>5116213</v>
      </c>
      <c r="B156" s="13">
        <v>5</v>
      </c>
      <c r="C156" s="13">
        <v>10</v>
      </c>
      <c r="D156" s="13">
        <v>0</v>
      </c>
    </row>
    <row r="157" spans="1:4">
      <c r="A157" s="13">
        <v>5116213</v>
      </c>
      <c r="B157" s="13">
        <v>7</v>
      </c>
      <c r="C157" s="13">
        <v>10</v>
      </c>
      <c r="D157" s="13">
        <v>1</v>
      </c>
    </row>
    <row r="158" spans="1:4">
      <c r="A158" s="13">
        <v>5116214</v>
      </c>
      <c r="B158" s="13">
        <v>5</v>
      </c>
      <c r="C158" s="13">
        <v>10</v>
      </c>
      <c r="D158" s="13">
        <v>0</v>
      </c>
    </row>
    <row r="159" spans="1:4">
      <c r="A159" s="13">
        <v>5116214</v>
      </c>
      <c r="B159" s="13">
        <v>7</v>
      </c>
      <c r="C159" s="13">
        <v>10</v>
      </c>
      <c r="D159" s="13">
        <v>1</v>
      </c>
    </row>
    <row r="160" spans="1:4">
      <c r="A160" s="13">
        <v>5116215</v>
      </c>
      <c r="B160" s="13">
        <v>5</v>
      </c>
      <c r="C160" s="13">
        <v>10</v>
      </c>
      <c r="D160" s="13">
        <v>0</v>
      </c>
    </row>
    <row r="161" spans="1:4">
      <c r="A161" s="13">
        <v>5116215</v>
      </c>
      <c r="B161" s="13">
        <v>7</v>
      </c>
      <c r="C161" s="13">
        <v>10</v>
      </c>
      <c r="D161" s="13">
        <v>1</v>
      </c>
    </row>
    <row r="162" spans="1:4">
      <c r="A162" s="13">
        <v>5116216</v>
      </c>
      <c r="B162" s="13">
        <v>5</v>
      </c>
      <c r="C162" s="13">
        <v>10</v>
      </c>
      <c r="D162" s="13">
        <v>0</v>
      </c>
    </row>
    <row r="163" spans="1:4">
      <c r="A163" s="13">
        <v>5116216</v>
      </c>
      <c r="B163" s="13">
        <v>7</v>
      </c>
      <c r="C163" s="13">
        <v>10</v>
      </c>
      <c r="D163" s="13">
        <v>1</v>
      </c>
    </row>
    <row r="164" spans="1:4">
      <c r="A164" s="13">
        <v>5116218</v>
      </c>
      <c r="B164" s="13">
        <v>5</v>
      </c>
      <c r="C164" s="13">
        <v>10</v>
      </c>
      <c r="D164" s="13">
        <v>0</v>
      </c>
    </row>
    <row r="165" spans="1:4">
      <c r="A165" s="13">
        <v>5116218</v>
      </c>
      <c r="B165" s="13">
        <v>7</v>
      </c>
      <c r="C165" s="13">
        <v>10</v>
      </c>
      <c r="D165" s="13">
        <v>1</v>
      </c>
    </row>
    <row r="166" spans="1:4">
      <c r="A166" s="13">
        <v>5000612</v>
      </c>
      <c r="B166" s="13">
        <v>2</v>
      </c>
      <c r="C166" s="13">
        <v>8</v>
      </c>
      <c r="D166" s="13">
        <v>0</v>
      </c>
    </row>
    <row r="167" spans="1:4">
      <c r="A167" s="13">
        <v>5000612</v>
      </c>
      <c r="B167" s="13">
        <v>3</v>
      </c>
      <c r="C167" s="13">
        <v>8</v>
      </c>
      <c r="D167" s="13">
        <v>0</v>
      </c>
    </row>
    <row r="168" spans="1:4">
      <c r="A168" s="13">
        <v>5000614</v>
      </c>
      <c r="B168" s="13">
        <v>2</v>
      </c>
      <c r="C168" s="13">
        <v>8</v>
      </c>
      <c r="D168" s="13">
        <v>0</v>
      </c>
    </row>
    <row r="169" spans="1:4">
      <c r="A169" s="13">
        <v>5000614</v>
      </c>
      <c r="B169" s="13">
        <v>3</v>
      </c>
      <c r="C169" s="13">
        <v>8</v>
      </c>
      <c r="D169" s="13">
        <v>0</v>
      </c>
    </row>
    <row r="170" spans="1:4">
      <c r="A170" s="13">
        <v>5000615</v>
      </c>
      <c r="B170" s="13">
        <v>2</v>
      </c>
      <c r="C170" s="13">
        <v>8</v>
      </c>
      <c r="D170" s="13">
        <v>0</v>
      </c>
    </row>
    <row r="171" spans="1:4">
      <c r="A171" s="13">
        <v>5000615</v>
      </c>
      <c r="B171" s="13">
        <v>3</v>
      </c>
      <c r="C171" s="13">
        <v>8</v>
      </c>
      <c r="D171" s="13">
        <v>0</v>
      </c>
    </row>
    <row r="172" spans="1:4">
      <c r="A172" s="13">
        <v>5026901</v>
      </c>
      <c r="B172" s="13">
        <v>2</v>
      </c>
      <c r="C172" s="13">
        <v>8</v>
      </c>
      <c r="D172" s="13">
        <v>0</v>
      </c>
    </row>
    <row r="173" spans="1:4">
      <c r="A173" s="13">
        <v>5026901</v>
      </c>
      <c r="B173" s="13">
        <v>3</v>
      </c>
      <c r="C173" s="13">
        <v>8</v>
      </c>
      <c r="D173" s="13">
        <v>0</v>
      </c>
    </row>
    <row r="174" spans="1:4">
      <c r="A174" s="13">
        <v>5037477</v>
      </c>
      <c r="B174" s="13">
        <v>2</v>
      </c>
      <c r="C174" s="13">
        <v>8</v>
      </c>
      <c r="D174" s="13">
        <v>0</v>
      </c>
    </row>
    <row r="175" spans="1:4">
      <c r="A175" s="13">
        <v>5037477</v>
      </c>
      <c r="B175" s="13">
        <v>3</v>
      </c>
      <c r="C175" s="13">
        <v>8</v>
      </c>
      <c r="D175" s="13">
        <v>0</v>
      </c>
    </row>
    <row r="176" spans="1:4">
      <c r="A176" s="13">
        <v>5000611</v>
      </c>
      <c r="B176" s="13">
        <v>1</v>
      </c>
      <c r="C176" s="13">
        <v>9</v>
      </c>
      <c r="D176" s="13">
        <v>1</v>
      </c>
    </row>
    <row r="177" spans="1:4">
      <c r="A177" s="13">
        <v>5000611</v>
      </c>
      <c r="B177" s="13">
        <v>2</v>
      </c>
      <c r="C177" s="13">
        <v>8</v>
      </c>
      <c r="D177" s="13">
        <v>0</v>
      </c>
    </row>
    <row r="178" spans="1:4">
      <c r="A178" s="13">
        <v>5000611</v>
      </c>
      <c r="B178" s="13">
        <v>3</v>
      </c>
      <c r="C178" s="13">
        <v>8</v>
      </c>
      <c r="D178" s="13">
        <v>0</v>
      </c>
    </row>
    <row r="179" spans="1:4">
      <c r="A179" s="13">
        <v>5000613</v>
      </c>
      <c r="B179" s="13">
        <v>2</v>
      </c>
      <c r="C179" s="13">
        <v>8</v>
      </c>
      <c r="D179" s="13">
        <v>0</v>
      </c>
    </row>
    <row r="180" spans="1:4">
      <c r="A180" s="13">
        <v>5000613</v>
      </c>
      <c r="B180" s="13">
        <v>3</v>
      </c>
      <c r="C180" s="13">
        <v>8</v>
      </c>
      <c r="D180" s="13">
        <v>0</v>
      </c>
    </row>
    <row r="181" spans="1:4">
      <c r="A181" s="13">
        <v>5000618</v>
      </c>
      <c r="B181" s="13">
        <v>1</v>
      </c>
      <c r="C181" s="13">
        <v>9</v>
      </c>
      <c r="D181" s="13">
        <v>1</v>
      </c>
    </row>
    <row r="182" spans="1:4">
      <c r="A182" s="13">
        <v>5000618</v>
      </c>
      <c r="B182" s="13">
        <v>2</v>
      </c>
      <c r="C182" s="13">
        <v>8</v>
      </c>
      <c r="D182" s="13">
        <v>0</v>
      </c>
    </row>
    <row r="183" spans="1:4">
      <c r="A183" s="13">
        <v>5000618</v>
      </c>
      <c r="B183" s="13">
        <v>3</v>
      </c>
      <c r="C183" s="13">
        <v>8</v>
      </c>
      <c r="D183" s="13">
        <v>0</v>
      </c>
    </row>
    <row r="184" spans="1:4">
      <c r="A184" s="13">
        <v>5000632</v>
      </c>
      <c r="B184" s="13">
        <v>2</v>
      </c>
      <c r="C184" s="13">
        <v>8</v>
      </c>
      <c r="D184" s="13">
        <v>0</v>
      </c>
    </row>
    <row r="185" spans="1:4">
      <c r="A185" s="13">
        <v>5000632</v>
      </c>
      <c r="B185" s="13">
        <v>3</v>
      </c>
      <c r="C185" s="13">
        <v>8</v>
      </c>
      <c r="D185" s="13">
        <v>0</v>
      </c>
    </row>
    <row r="186" spans="1:4">
      <c r="A186" s="13">
        <v>5000633</v>
      </c>
      <c r="B186" s="13">
        <v>2</v>
      </c>
      <c r="C186" s="13">
        <v>8</v>
      </c>
      <c r="D186" s="13">
        <v>0</v>
      </c>
    </row>
    <row r="187" spans="1:4">
      <c r="A187" s="13">
        <v>5000633</v>
      </c>
      <c r="B187" s="13">
        <v>3</v>
      </c>
      <c r="C187" s="13">
        <v>8</v>
      </c>
      <c r="D187" s="13">
        <v>0</v>
      </c>
    </row>
    <row r="188" spans="1:4">
      <c r="A188" s="13">
        <v>5000647</v>
      </c>
      <c r="B188" s="13">
        <v>1</v>
      </c>
      <c r="C188" s="13">
        <v>8</v>
      </c>
      <c r="D188" s="13">
        <v>0</v>
      </c>
    </row>
    <row r="189" spans="1:4">
      <c r="A189" s="13">
        <v>5000647</v>
      </c>
      <c r="B189" s="13">
        <v>2</v>
      </c>
      <c r="C189" s="13">
        <v>8</v>
      </c>
      <c r="D189" s="13">
        <v>0</v>
      </c>
    </row>
    <row r="190" spans="1:4">
      <c r="A190" s="13">
        <v>5000647</v>
      </c>
      <c r="B190" s="13">
        <v>4</v>
      </c>
      <c r="C190" s="13">
        <v>8</v>
      </c>
      <c r="D190" s="13">
        <v>0</v>
      </c>
    </row>
    <row r="191" spans="1:4">
      <c r="A191" s="13">
        <v>5000647</v>
      </c>
      <c r="B191" s="13">
        <v>7</v>
      </c>
      <c r="C191" s="13">
        <v>9</v>
      </c>
      <c r="D191" s="13">
        <v>1</v>
      </c>
    </row>
    <row r="192" spans="1:4">
      <c r="A192" s="13">
        <v>5000648</v>
      </c>
      <c r="B192" s="13">
        <v>1</v>
      </c>
      <c r="C192" s="13">
        <v>8</v>
      </c>
      <c r="D192" s="13">
        <v>0</v>
      </c>
    </row>
    <row r="193" spans="1:4">
      <c r="A193" s="13">
        <v>5000648</v>
      </c>
      <c r="B193" s="13">
        <v>2</v>
      </c>
      <c r="C193" s="13">
        <v>8</v>
      </c>
      <c r="D193" s="13">
        <v>0</v>
      </c>
    </row>
    <row r="194" spans="1:4">
      <c r="A194" s="13">
        <v>5000648</v>
      </c>
      <c r="B194" s="13">
        <v>4</v>
      </c>
      <c r="C194" s="13">
        <v>8</v>
      </c>
      <c r="D194" s="13">
        <v>0</v>
      </c>
    </row>
    <row r="195" spans="1:4">
      <c r="A195" s="13">
        <v>5000648</v>
      </c>
      <c r="B195" s="13">
        <v>7</v>
      </c>
      <c r="C195" s="13">
        <v>9</v>
      </c>
      <c r="D195" s="13">
        <v>1</v>
      </c>
    </row>
    <row r="196" spans="1:4">
      <c r="A196" s="13">
        <v>5000652</v>
      </c>
      <c r="B196" s="13">
        <v>1</v>
      </c>
      <c r="C196" s="13">
        <v>8</v>
      </c>
      <c r="D196" s="13">
        <v>0</v>
      </c>
    </row>
    <row r="197" spans="1:4">
      <c r="A197" s="13">
        <v>5000652</v>
      </c>
      <c r="B197" s="13">
        <v>2</v>
      </c>
      <c r="C197" s="13">
        <v>8</v>
      </c>
      <c r="D197" s="13">
        <v>0</v>
      </c>
    </row>
    <row r="198" spans="1:4">
      <c r="A198" s="13">
        <v>5000652</v>
      </c>
      <c r="B198" s="13">
        <v>4</v>
      </c>
      <c r="C198" s="13">
        <v>8</v>
      </c>
      <c r="D198" s="13">
        <v>0</v>
      </c>
    </row>
    <row r="199" spans="1:4">
      <c r="A199" s="13">
        <v>5000652</v>
      </c>
      <c r="B199" s="13">
        <v>7</v>
      </c>
      <c r="C199" s="13">
        <v>9</v>
      </c>
      <c r="D199" s="13">
        <v>1</v>
      </c>
    </row>
    <row r="200" spans="1:4">
      <c r="A200" s="13">
        <v>5000653</v>
      </c>
      <c r="B200" s="13">
        <v>1</v>
      </c>
      <c r="C200" s="13">
        <v>8</v>
      </c>
      <c r="D200" s="13">
        <v>0</v>
      </c>
    </row>
    <row r="201" spans="1:4">
      <c r="A201" s="13">
        <v>5000653</v>
      </c>
      <c r="B201" s="13">
        <v>2</v>
      </c>
      <c r="C201" s="13">
        <v>8</v>
      </c>
      <c r="D201" s="13">
        <v>0</v>
      </c>
    </row>
    <row r="202" spans="1:4">
      <c r="A202" s="13">
        <v>5000653</v>
      </c>
      <c r="B202" s="13">
        <v>4</v>
      </c>
      <c r="C202" s="13">
        <v>8</v>
      </c>
      <c r="D202" s="13">
        <v>0</v>
      </c>
    </row>
    <row r="203" spans="1:4">
      <c r="A203" s="13">
        <v>5000654</v>
      </c>
      <c r="B203" s="13">
        <v>1</v>
      </c>
      <c r="C203" s="13">
        <v>8</v>
      </c>
      <c r="D203" s="13">
        <v>0</v>
      </c>
    </row>
    <row r="204" spans="1:4">
      <c r="A204" s="13">
        <v>5000654</v>
      </c>
      <c r="B204" s="13">
        <v>2</v>
      </c>
      <c r="C204" s="13">
        <v>8</v>
      </c>
      <c r="D204" s="13">
        <v>0</v>
      </c>
    </row>
    <row r="205" spans="1:4">
      <c r="A205" s="13">
        <v>5000654</v>
      </c>
      <c r="B205" s="13">
        <v>4</v>
      </c>
      <c r="C205" s="13">
        <v>8</v>
      </c>
      <c r="D205" s="13">
        <v>0</v>
      </c>
    </row>
    <row r="206" spans="1:4">
      <c r="A206" s="13">
        <v>5000654</v>
      </c>
      <c r="B206" s="13">
        <v>7</v>
      </c>
      <c r="C206" s="13">
        <v>9</v>
      </c>
      <c r="D206" s="13">
        <v>1</v>
      </c>
    </row>
    <row r="207" spans="1:4">
      <c r="A207" s="13">
        <v>5000656</v>
      </c>
      <c r="B207" s="13">
        <v>1</v>
      </c>
      <c r="C207" s="13">
        <v>8</v>
      </c>
      <c r="D207" s="13">
        <v>0</v>
      </c>
    </row>
    <row r="208" spans="1:4">
      <c r="A208" s="13">
        <v>5000656</v>
      </c>
      <c r="B208" s="13">
        <v>2</v>
      </c>
      <c r="C208" s="13">
        <v>8</v>
      </c>
      <c r="D208" s="13">
        <v>0</v>
      </c>
    </row>
    <row r="209" spans="1:4">
      <c r="A209" s="13">
        <v>5000656</v>
      </c>
      <c r="B209" s="13">
        <v>4</v>
      </c>
      <c r="C209" s="13">
        <v>8</v>
      </c>
      <c r="D209" s="13">
        <v>0</v>
      </c>
    </row>
    <row r="210" spans="1:4">
      <c r="A210" s="13">
        <v>5000658</v>
      </c>
      <c r="B210" s="13">
        <v>1</v>
      </c>
      <c r="C210" s="13">
        <v>8</v>
      </c>
      <c r="D210" s="13">
        <v>0</v>
      </c>
    </row>
    <row r="211" spans="1:4">
      <c r="A211" s="13">
        <v>5000658</v>
      </c>
      <c r="B211" s="13">
        <v>2</v>
      </c>
      <c r="C211" s="13">
        <v>8</v>
      </c>
      <c r="D211" s="13">
        <v>0</v>
      </c>
    </row>
    <row r="212" spans="1:4">
      <c r="A212" s="13">
        <v>5000658</v>
      </c>
      <c r="B212" s="13">
        <v>4</v>
      </c>
      <c r="C212" s="13">
        <v>8</v>
      </c>
      <c r="D212" s="13">
        <v>0</v>
      </c>
    </row>
    <row r="213" spans="1:4">
      <c r="A213" s="13">
        <v>5000658</v>
      </c>
      <c r="B213" s="13">
        <v>7</v>
      </c>
      <c r="C213" s="13">
        <v>9</v>
      </c>
      <c r="D213" s="13">
        <v>1</v>
      </c>
    </row>
    <row r="214" spans="1:4">
      <c r="A214" s="13">
        <v>5000659</v>
      </c>
      <c r="B214" s="13">
        <v>1</v>
      </c>
      <c r="C214" s="13">
        <v>8</v>
      </c>
      <c r="D214" s="13">
        <v>0</v>
      </c>
    </row>
    <row r="215" spans="1:4">
      <c r="A215" s="13">
        <v>5000659</v>
      </c>
      <c r="B215" s="13">
        <v>2</v>
      </c>
      <c r="C215" s="13">
        <v>8</v>
      </c>
      <c r="D215" s="13">
        <v>0</v>
      </c>
    </row>
    <row r="216" spans="1:4">
      <c r="A216" s="13">
        <v>5000659</v>
      </c>
      <c r="B216" s="13">
        <v>4</v>
      </c>
      <c r="C216" s="13">
        <v>8</v>
      </c>
      <c r="D216" s="13">
        <v>0</v>
      </c>
    </row>
    <row r="217" spans="1:4">
      <c r="A217" s="13">
        <v>5016103</v>
      </c>
      <c r="B217" s="13">
        <v>1</v>
      </c>
      <c r="C217" s="13">
        <v>9</v>
      </c>
      <c r="D217" s="13">
        <v>1</v>
      </c>
    </row>
    <row r="218" spans="1:4">
      <c r="A218" s="13">
        <v>5016103</v>
      </c>
      <c r="B218" s="13">
        <v>2</v>
      </c>
      <c r="C218" s="13">
        <v>8</v>
      </c>
      <c r="D218" s="13">
        <v>0</v>
      </c>
    </row>
    <row r="219" spans="1:4">
      <c r="A219" s="13">
        <v>5016103</v>
      </c>
      <c r="B219" s="13">
        <v>3</v>
      </c>
      <c r="C219" s="13">
        <v>8</v>
      </c>
      <c r="D219" s="13">
        <v>0</v>
      </c>
    </row>
    <row r="220" spans="1:4">
      <c r="A220" s="13">
        <v>5016104</v>
      </c>
      <c r="B220" s="13">
        <v>1</v>
      </c>
      <c r="C220" s="13">
        <v>9</v>
      </c>
      <c r="D220" s="13">
        <v>1</v>
      </c>
    </row>
    <row r="221" spans="1:4">
      <c r="A221" s="13">
        <v>5016104</v>
      </c>
      <c r="B221" s="13">
        <v>2</v>
      </c>
      <c r="C221" s="13">
        <v>8</v>
      </c>
      <c r="D221" s="13">
        <v>0</v>
      </c>
    </row>
    <row r="222" spans="1:4">
      <c r="A222" s="13">
        <v>5016104</v>
      </c>
      <c r="B222" s="13">
        <v>3</v>
      </c>
      <c r="C222" s="13">
        <v>8</v>
      </c>
      <c r="D222" s="13">
        <v>0</v>
      </c>
    </row>
    <row r="223" spans="1:4">
      <c r="A223" s="13">
        <v>5021724</v>
      </c>
      <c r="B223" s="13">
        <v>2</v>
      </c>
      <c r="C223" s="13">
        <v>8</v>
      </c>
      <c r="D223" s="13">
        <v>0</v>
      </c>
    </row>
    <row r="224" spans="1:4">
      <c r="A224" s="13">
        <v>5021724</v>
      </c>
      <c r="B224" s="13">
        <v>3</v>
      </c>
      <c r="C224" s="13">
        <v>8</v>
      </c>
      <c r="D224" s="13">
        <v>0</v>
      </c>
    </row>
    <row r="225" spans="1:4">
      <c r="A225" s="13">
        <v>5029505</v>
      </c>
      <c r="B225" s="13">
        <v>1</v>
      </c>
      <c r="C225" s="13">
        <v>8</v>
      </c>
      <c r="D225" s="13">
        <v>0</v>
      </c>
    </row>
    <row r="226" spans="1:4">
      <c r="A226" s="13">
        <v>5029505</v>
      </c>
      <c r="B226" s="13">
        <v>2</v>
      </c>
      <c r="C226" s="13">
        <v>8</v>
      </c>
      <c r="D226" s="13">
        <v>0</v>
      </c>
    </row>
    <row r="227" spans="1:4">
      <c r="A227" s="13">
        <v>5029505</v>
      </c>
      <c r="B227" s="13">
        <v>4</v>
      </c>
      <c r="C227" s="13">
        <v>8</v>
      </c>
      <c r="D227" s="13">
        <v>0</v>
      </c>
    </row>
    <row r="228" spans="1:4">
      <c r="A228" s="13">
        <v>5029506</v>
      </c>
      <c r="B228" s="13">
        <v>1</v>
      </c>
      <c r="C228" s="13">
        <v>8</v>
      </c>
      <c r="D228" s="13">
        <v>0</v>
      </c>
    </row>
    <row r="229" spans="1:4">
      <c r="A229" s="13">
        <v>5029506</v>
      </c>
      <c r="B229" s="13">
        <v>2</v>
      </c>
      <c r="C229" s="13">
        <v>8</v>
      </c>
      <c r="D229" s="13">
        <v>0</v>
      </c>
    </row>
    <row r="230" spans="1:4">
      <c r="A230" s="13">
        <v>5029506</v>
      </c>
      <c r="B230" s="13">
        <v>4</v>
      </c>
      <c r="C230" s="13">
        <v>8</v>
      </c>
      <c r="D230" s="13">
        <v>0</v>
      </c>
    </row>
    <row r="231" spans="1:4">
      <c r="A231" s="13">
        <v>5037473</v>
      </c>
      <c r="B231" s="13">
        <v>1</v>
      </c>
      <c r="C231" s="13">
        <v>8</v>
      </c>
      <c r="D231" s="13">
        <v>0</v>
      </c>
    </row>
    <row r="232" spans="1:4">
      <c r="A232" s="13">
        <v>5037473</v>
      </c>
      <c r="B232" s="13">
        <v>2</v>
      </c>
      <c r="C232" s="13">
        <v>8</v>
      </c>
      <c r="D232" s="13">
        <v>0</v>
      </c>
    </row>
    <row r="233" spans="1:4">
      <c r="A233" s="13">
        <v>5037473</v>
      </c>
      <c r="B233" s="13">
        <v>4</v>
      </c>
      <c r="C233" s="13">
        <v>8</v>
      </c>
      <c r="D233" s="13">
        <v>0</v>
      </c>
    </row>
    <row r="234" spans="1:4">
      <c r="A234" s="13">
        <v>5037473</v>
      </c>
      <c r="B234" s="13">
        <v>7</v>
      </c>
      <c r="C234" s="13">
        <v>9</v>
      </c>
      <c r="D234" s="13">
        <v>1</v>
      </c>
    </row>
    <row r="235" spans="1:4">
      <c r="A235" s="13">
        <v>5037474</v>
      </c>
      <c r="B235" s="13">
        <v>1</v>
      </c>
      <c r="C235" s="13">
        <v>8</v>
      </c>
      <c r="D235" s="13">
        <v>0</v>
      </c>
    </row>
    <row r="236" spans="1:4">
      <c r="A236" s="13">
        <v>5037474</v>
      </c>
      <c r="B236" s="13">
        <v>2</v>
      </c>
      <c r="C236" s="13">
        <v>8</v>
      </c>
      <c r="D236" s="13">
        <v>0</v>
      </c>
    </row>
    <row r="237" spans="1:4">
      <c r="A237" s="13">
        <v>5037474</v>
      </c>
      <c r="B237" s="13">
        <v>4</v>
      </c>
      <c r="C237" s="13">
        <v>8</v>
      </c>
      <c r="D237" s="13">
        <v>0</v>
      </c>
    </row>
    <row r="238" spans="1:4">
      <c r="A238" s="13">
        <v>5037904</v>
      </c>
      <c r="B238" s="13">
        <v>1</v>
      </c>
      <c r="C238" s="13">
        <v>9</v>
      </c>
      <c r="D238" s="13">
        <v>1</v>
      </c>
    </row>
    <row r="239" spans="1:4">
      <c r="A239" s="13">
        <v>5037904</v>
      </c>
      <c r="B239" s="13">
        <v>2</v>
      </c>
      <c r="C239" s="13">
        <v>8</v>
      </c>
      <c r="D239" s="13">
        <v>0</v>
      </c>
    </row>
    <row r="240" spans="1:4">
      <c r="A240" s="13">
        <v>5037904</v>
      </c>
      <c r="B240" s="13">
        <v>3</v>
      </c>
      <c r="C240" s="13">
        <v>8</v>
      </c>
      <c r="D240" s="13">
        <v>0</v>
      </c>
    </row>
    <row r="241" spans="1:4">
      <c r="A241" s="13">
        <v>5042789</v>
      </c>
      <c r="B241" s="13">
        <v>2</v>
      </c>
      <c r="C241" s="13">
        <v>8</v>
      </c>
      <c r="D241" s="13">
        <v>0</v>
      </c>
    </row>
    <row r="242" spans="1:4">
      <c r="A242" s="13">
        <v>5042789</v>
      </c>
      <c r="B242" s="13">
        <v>3</v>
      </c>
      <c r="C242" s="13">
        <v>8</v>
      </c>
      <c r="D242" s="13">
        <v>0</v>
      </c>
    </row>
    <row r="243" spans="1:4">
      <c r="A243" s="13">
        <v>5050206</v>
      </c>
      <c r="B243" s="13">
        <v>1</v>
      </c>
      <c r="C243" s="13">
        <v>9</v>
      </c>
      <c r="D243" s="13">
        <v>1</v>
      </c>
    </row>
    <row r="244" spans="1:4">
      <c r="A244" s="13">
        <v>5050206</v>
      </c>
      <c r="B244" s="13">
        <v>2</v>
      </c>
      <c r="C244" s="13">
        <v>8</v>
      </c>
      <c r="D244" s="13">
        <v>0</v>
      </c>
    </row>
    <row r="245" spans="1:4">
      <c r="A245" s="13">
        <v>5050206</v>
      </c>
      <c r="B245" s="13">
        <v>3</v>
      </c>
      <c r="C245" s="13">
        <v>8</v>
      </c>
      <c r="D245" s="13">
        <v>0</v>
      </c>
    </row>
    <row r="246" spans="1:4">
      <c r="A246" s="13">
        <v>5096095</v>
      </c>
      <c r="B246" s="13">
        <v>1</v>
      </c>
      <c r="C246" s="13">
        <v>8</v>
      </c>
      <c r="D246" s="13">
        <v>0</v>
      </c>
    </row>
    <row r="247" spans="1:4">
      <c r="A247" s="13">
        <v>5096212</v>
      </c>
      <c r="B247" s="13">
        <v>1</v>
      </c>
      <c r="C247" s="13">
        <v>8</v>
      </c>
      <c r="D247" s="13">
        <v>0</v>
      </c>
    </row>
    <row r="248" spans="1:4">
      <c r="A248" s="13">
        <v>5096212</v>
      </c>
      <c r="B248" s="13">
        <v>2</v>
      </c>
      <c r="C248" s="13">
        <v>8</v>
      </c>
      <c r="D248" s="13">
        <v>0</v>
      </c>
    </row>
    <row r="249" spans="1:4">
      <c r="A249" s="13">
        <v>5096212</v>
      </c>
      <c r="B249" s="13">
        <v>4</v>
      </c>
      <c r="C249" s="13">
        <v>8</v>
      </c>
      <c r="D249" s="13">
        <v>0</v>
      </c>
    </row>
    <row r="250" spans="1:4">
      <c r="A250" s="13">
        <v>5098659</v>
      </c>
      <c r="B250" s="13">
        <v>1</v>
      </c>
      <c r="C250" s="13">
        <v>9</v>
      </c>
      <c r="D250" s="13">
        <v>1</v>
      </c>
    </row>
    <row r="251" spans="1:4">
      <c r="A251" s="13">
        <v>5098659</v>
      </c>
      <c r="B251" s="13">
        <v>2</v>
      </c>
      <c r="C251" s="13">
        <v>8</v>
      </c>
      <c r="D251" s="13">
        <v>0</v>
      </c>
    </row>
    <row r="252" spans="1:4">
      <c r="A252" s="13">
        <v>5098659</v>
      </c>
      <c r="B252" s="13">
        <v>3</v>
      </c>
      <c r="C252" s="13">
        <v>8</v>
      </c>
      <c r="D252" s="13">
        <v>0</v>
      </c>
    </row>
    <row r="253" spans="1:4">
      <c r="A253" s="13">
        <v>5097574</v>
      </c>
      <c r="B253" s="13">
        <v>2</v>
      </c>
      <c r="C253" s="13">
        <v>13</v>
      </c>
      <c r="D253" s="13">
        <v>1</v>
      </c>
    </row>
    <row r="254" spans="1:4">
      <c r="A254" s="13">
        <v>5097575</v>
      </c>
      <c r="B254" s="13">
        <v>1</v>
      </c>
      <c r="C254" s="13">
        <v>13</v>
      </c>
      <c r="D254" s="13">
        <v>1</v>
      </c>
    </row>
    <row r="255" spans="1:4">
      <c r="A255" s="13">
        <v>5097575</v>
      </c>
      <c r="B255" s="13">
        <v>2</v>
      </c>
      <c r="C255" s="13">
        <v>13</v>
      </c>
      <c r="D255" s="13">
        <v>1</v>
      </c>
    </row>
    <row r="256" spans="1:4">
      <c r="A256" s="13">
        <v>5081744</v>
      </c>
      <c r="B256" s="13">
        <v>2</v>
      </c>
      <c r="C256" s="13">
        <v>5</v>
      </c>
      <c r="D256" s="13">
        <v>1</v>
      </c>
    </row>
    <row r="257" spans="1:4">
      <c r="A257" s="13">
        <v>5081744</v>
      </c>
      <c r="B257" s="13">
        <v>3</v>
      </c>
      <c r="C257" s="13">
        <v>5</v>
      </c>
      <c r="D257" s="13">
        <v>0</v>
      </c>
    </row>
    <row r="258" spans="1:4">
      <c r="A258" s="13">
        <v>5082198</v>
      </c>
      <c r="B258" s="13">
        <v>1</v>
      </c>
      <c r="C258" s="13">
        <v>13</v>
      </c>
      <c r="D258" s="13">
        <v>0</v>
      </c>
    </row>
    <row r="259" spans="1:4">
      <c r="A259" s="13">
        <v>5082198</v>
      </c>
      <c r="B259" s="13">
        <v>2</v>
      </c>
      <c r="C259" s="13">
        <v>13</v>
      </c>
      <c r="D259" s="13">
        <v>1</v>
      </c>
    </row>
    <row r="260" spans="1:4">
      <c r="A260" s="13">
        <v>5082199</v>
      </c>
      <c r="B260" s="13">
        <v>2</v>
      </c>
      <c r="C260" s="13">
        <v>10</v>
      </c>
      <c r="D260" s="13">
        <v>1</v>
      </c>
    </row>
    <row r="261" spans="1:4">
      <c r="A261" s="13">
        <v>5082199</v>
      </c>
      <c r="B261" s="13">
        <v>3</v>
      </c>
      <c r="C261" s="13">
        <v>10</v>
      </c>
      <c r="D261" s="13">
        <v>1</v>
      </c>
    </row>
    <row r="262" spans="1:4">
      <c r="A262" s="13">
        <v>5082200</v>
      </c>
      <c r="B262" s="13">
        <v>2</v>
      </c>
      <c r="C262" s="13">
        <v>5</v>
      </c>
      <c r="D262" s="13">
        <v>1</v>
      </c>
    </row>
    <row r="263" spans="1:4">
      <c r="A263" s="13">
        <v>5082200</v>
      </c>
      <c r="B263" s="13">
        <v>3</v>
      </c>
      <c r="C263" s="13">
        <v>5</v>
      </c>
      <c r="D263" s="13">
        <v>0</v>
      </c>
    </row>
    <row r="264" spans="1:4">
      <c r="A264" s="13">
        <v>5082211</v>
      </c>
      <c r="B264" s="13">
        <v>2</v>
      </c>
      <c r="C264" s="13">
        <v>5</v>
      </c>
      <c r="D264" s="13">
        <v>1</v>
      </c>
    </row>
    <row r="265" spans="1:4">
      <c r="A265" s="13">
        <v>5082211</v>
      </c>
      <c r="B265" s="13">
        <v>3</v>
      </c>
      <c r="C265" s="13">
        <v>5</v>
      </c>
      <c r="D265" s="13">
        <v>0</v>
      </c>
    </row>
    <row r="266" spans="1:4">
      <c r="A266" s="13">
        <v>5082212</v>
      </c>
      <c r="B266" s="13">
        <v>2</v>
      </c>
      <c r="C266" s="13">
        <v>10</v>
      </c>
      <c r="D266" s="13">
        <v>1</v>
      </c>
    </row>
    <row r="267" spans="1:4">
      <c r="A267" s="13">
        <v>5082212</v>
      </c>
      <c r="B267" s="13">
        <v>3</v>
      </c>
      <c r="C267" s="13">
        <v>10</v>
      </c>
      <c r="D267" s="13">
        <v>1</v>
      </c>
    </row>
    <row r="268" spans="1:4">
      <c r="A268" s="13">
        <v>5082213</v>
      </c>
      <c r="B268" s="13">
        <v>1</v>
      </c>
      <c r="C268" s="13">
        <v>13</v>
      </c>
      <c r="D268" s="13">
        <v>0</v>
      </c>
    </row>
    <row r="269" spans="1:4">
      <c r="A269" s="13">
        <v>5082213</v>
      </c>
      <c r="B269" s="13">
        <v>2</v>
      </c>
      <c r="C269" s="13">
        <v>13</v>
      </c>
      <c r="D269" s="13">
        <v>1</v>
      </c>
    </row>
    <row r="270" spans="1:4">
      <c r="A270" s="13">
        <v>5082214</v>
      </c>
      <c r="B270" s="13">
        <v>1</v>
      </c>
      <c r="C270" s="13">
        <v>13</v>
      </c>
      <c r="D270" s="13">
        <v>0</v>
      </c>
    </row>
    <row r="271" spans="1:4">
      <c r="A271" s="13">
        <v>5082214</v>
      </c>
      <c r="B271" s="13">
        <v>2</v>
      </c>
      <c r="C271" s="13">
        <v>13</v>
      </c>
      <c r="D271" s="13">
        <v>1</v>
      </c>
    </row>
    <row r="272" spans="1:4">
      <c r="A272" s="13">
        <v>5085669</v>
      </c>
      <c r="B272" s="13">
        <v>1</v>
      </c>
      <c r="C272" s="13">
        <v>13</v>
      </c>
      <c r="D272" s="13">
        <v>0</v>
      </c>
    </row>
    <row r="273" spans="1:4">
      <c r="A273" s="13">
        <v>5085669</v>
      </c>
      <c r="B273" s="13">
        <v>2</v>
      </c>
      <c r="C273" s="13">
        <v>13</v>
      </c>
      <c r="D273" s="13">
        <v>1</v>
      </c>
    </row>
    <row r="274" spans="1:4">
      <c r="A274" s="13">
        <v>5086810</v>
      </c>
      <c r="B274" s="13">
        <v>3</v>
      </c>
      <c r="C274" s="13">
        <v>10</v>
      </c>
      <c r="D274" s="13">
        <v>1</v>
      </c>
    </row>
    <row r="275" spans="1:4">
      <c r="A275" s="13">
        <v>5086962</v>
      </c>
      <c r="B275" s="13">
        <v>1</v>
      </c>
      <c r="C275" s="13">
        <v>13</v>
      </c>
      <c r="D275" s="13">
        <v>0</v>
      </c>
    </row>
    <row r="276" spans="1:4">
      <c r="A276" s="13">
        <v>5086962</v>
      </c>
      <c r="B276" s="13">
        <v>2</v>
      </c>
      <c r="C276" s="13">
        <v>13</v>
      </c>
      <c r="D276" s="13">
        <v>1</v>
      </c>
    </row>
    <row r="277" spans="1:4">
      <c r="A277" s="13">
        <v>5104063</v>
      </c>
      <c r="B277" s="13">
        <v>1</v>
      </c>
      <c r="C277" s="13">
        <v>10</v>
      </c>
      <c r="D277" s="13">
        <v>0</v>
      </c>
    </row>
    <row r="278" spans="1:4">
      <c r="A278" s="13">
        <v>5113913</v>
      </c>
      <c r="B278" s="13">
        <v>2</v>
      </c>
      <c r="C278" s="13">
        <v>10</v>
      </c>
      <c r="D278" s="13">
        <v>2</v>
      </c>
    </row>
    <row r="279" spans="1:4">
      <c r="A279" s="13">
        <v>5114864</v>
      </c>
      <c r="B279" s="13">
        <v>2</v>
      </c>
      <c r="C279" s="13">
        <v>12</v>
      </c>
      <c r="D279" s="13">
        <v>1</v>
      </c>
    </row>
    <row r="280" spans="1:4">
      <c r="A280" s="13">
        <v>5114865</v>
      </c>
      <c r="B280" s="13">
        <v>2</v>
      </c>
      <c r="C280" s="13">
        <v>12</v>
      </c>
      <c r="D280" s="13">
        <v>1</v>
      </c>
    </row>
    <row r="281" spans="1:4">
      <c r="A281" s="13">
        <v>5117558</v>
      </c>
      <c r="B281" s="13">
        <v>2</v>
      </c>
      <c r="C281" s="13">
        <v>13</v>
      </c>
      <c r="D281" s="13">
        <v>0</v>
      </c>
    </row>
  </sheetData>
  <autoFilter ref="A1:D281"/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</sheetPr>
  <dimension ref="A1:E5"/>
  <sheetViews>
    <sheetView workbookViewId="0">
      <selection activeCell="A1" sqref="A1"/>
    </sheetView>
  </sheetViews>
  <sheetFormatPr defaultColWidth="8" defaultRowHeight="16" outlineLevelRow="4" outlineLevelCol="4"/>
  <cols>
    <col min="5" max="5" width="24.7333333333333" customWidth="1"/>
  </cols>
  <sheetData>
    <row r="1" spans="1:4">
      <c r="A1" s="10" t="s">
        <v>295</v>
      </c>
      <c r="B1" s="10" t="s">
        <v>321</v>
      </c>
      <c r="C1" s="10" t="s">
        <v>322</v>
      </c>
      <c r="D1" s="10" t="s">
        <v>323</v>
      </c>
    </row>
    <row r="2" spans="1:5">
      <c r="A2" s="11" t="s">
        <v>302</v>
      </c>
      <c r="B2" s="11" t="s">
        <v>324</v>
      </c>
      <c r="C2" s="11" t="s">
        <v>325</v>
      </c>
      <c r="D2" s="11" t="s">
        <v>326</v>
      </c>
      <c r="E2" s="11" t="s">
        <v>327</v>
      </c>
    </row>
    <row r="3" spans="1:4">
      <c r="A3" s="11" t="s">
        <v>302</v>
      </c>
      <c r="B3" s="11" t="s">
        <v>328</v>
      </c>
      <c r="C3" s="11" t="s">
        <v>326</v>
      </c>
      <c r="D3" s="11" t="s">
        <v>325</v>
      </c>
    </row>
    <row r="4" spans="1:4">
      <c r="A4" s="11" t="s">
        <v>309</v>
      </c>
      <c r="B4" s="11" t="s">
        <v>324</v>
      </c>
      <c r="C4" s="11" t="s">
        <v>325</v>
      </c>
      <c r="D4" s="11" t="s">
        <v>326</v>
      </c>
    </row>
    <row r="5" spans="1:4">
      <c r="A5" s="11" t="s">
        <v>309</v>
      </c>
      <c r="B5" s="11" t="s">
        <v>328</v>
      </c>
      <c r="C5" s="11" t="s">
        <v>326</v>
      </c>
      <c r="D5" s="11" t="s">
        <v>325</v>
      </c>
    </row>
  </sheetData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</sheetPr>
  <dimension ref="A1:B3"/>
  <sheetViews>
    <sheetView workbookViewId="0">
      <selection activeCell="A1" sqref="A1"/>
    </sheetView>
  </sheetViews>
  <sheetFormatPr defaultColWidth="8" defaultRowHeight="16" outlineLevelRow="2" outlineLevelCol="1"/>
  <cols>
    <col min="2" max="2" width="118.066666666667" customWidth="1"/>
  </cols>
  <sheetData>
    <row r="1" spans="1:2">
      <c r="A1" s="1" t="s">
        <v>329</v>
      </c>
      <c r="B1" s="1" t="s">
        <v>330</v>
      </c>
    </row>
    <row r="2" spans="1:2">
      <c r="A2" s="3" t="s">
        <v>331</v>
      </c>
      <c r="B2" s="4" t="s">
        <v>332</v>
      </c>
    </row>
    <row r="3" spans="1:2">
      <c r="A3" s="3" t="s">
        <v>28</v>
      </c>
      <c r="B3" s="4" t="s">
        <v>333</v>
      </c>
    </row>
  </sheetData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</sheetPr>
  <dimension ref="A1:B44"/>
  <sheetViews>
    <sheetView workbookViewId="0">
      <selection activeCell="A1" sqref="A1"/>
    </sheetView>
  </sheetViews>
  <sheetFormatPr defaultColWidth="8" defaultRowHeight="16" outlineLevelCol="1"/>
  <cols>
    <col min="1" max="1" width="23.4" customWidth="1"/>
    <col min="2" max="2" width="59.1333333333333" customWidth="1"/>
  </cols>
  <sheetData>
    <row r="1" ht="20" customHeight="1" spans="1:2">
      <c r="A1" s="1" t="s">
        <v>334</v>
      </c>
      <c r="B1" s="2" t="s">
        <v>335</v>
      </c>
    </row>
    <row r="2" spans="1:2">
      <c r="A2" s="3" t="s">
        <v>0</v>
      </c>
      <c r="B2" s="4" t="s">
        <v>336</v>
      </c>
    </row>
    <row r="3" spans="1:2">
      <c r="A3" s="3" t="s">
        <v>1</v>
      </c>
      <c r="B3" s="4" t="s">
        <v>337</v>
      </c>
    </row>
    <row r="4" spans="1:2">
      <c r="A4" s="3" t="s">
        <v>2</v>
      </c>
      <c r="B4" s="4" t="s">
        <v>338</v>
      </c>
    </row>
    <row r="5" spans="1:2">
      <c r="A5" s="3" t="s">
        <v>3</v>
      </c>
      <c r="B5" s="4" t="s">
        <v>339</v>
      </c>
    </row>
    <row r="6" spans="1:2">
      <c r="A6" s="3" t="s">
        <v>4</v>
      </c>
      <c r="B6" s="5" t="s">
        <v>340</v>
      </c>
    </row>
    <row r="7" spans="1:2">
      <c r="A7" s="3" t="s">
        <v>5</v>
      </c>
      <c r="B7" s="5" t="s">
        <v>341</v>
      </c>
    </row>
    <row r="8" spans="1:2">
      <c r="A8" s="3" t="s">
        <v>6</v>
      </c>
      <c r="B8" s="4" t="s">
        <v>342</v>
      </c>
    </row>
    <row r="9" spans="1:2">
      <c r="A9" s="3" t="s">
        <v>7</v>
      </c>
      <c r="B9" s="4" t="s">
        <v>343</v>
      </c>
    </row>
    <row r="10" spans="1:2">
      <c r="A10" s="3" t="s">
        <v>8</v>
      </c>
      <c r="B10" s="4" t="s">
        <v>344</v>
      </c>
    </row>
    <row r="11" spans="1:2">
      <c r="A11" s="3" t="s">
        <v>9</v>
      </c>
      <c r="B11" s="4" t="s">
        <v>345</v>
      </c>
    </row>
    <row r="12" spans="1:2">
      <c r="A12" s="3" t="s">
        <v>10</v>
      </c>
      <c r="B12" s="4" t="s">
        <v>346</v>
      </c>
    </row>
    <row r="13" spans="1:2">
      <c r="A13" s="3" t="s">
        <v>11</v>
      </c>
      <c r="B13" s="4" t="s">
        <v>347</v>
      </c>
    </row>
    <row r="14" spans="1:2">
      <c r="A14" s="3" t="s">
        <v>12</v>
      </c>
      <c r="B14" s="4" t="s">
        <v>348</v>
      </c>
    </row>
    <row r="15" spans="1:2">
      <c r="A15" s="6" t="s">
        <v>273</v>
      </c>
      <c r="B15" s="7" t="s">
        <v>349</v>
      </c>
    </row>
    <row r="16" spans="1:2">
      <c r="A16" s="6" t="s">
        <v>274</v>
      </c>
      <c r="B16" s="5" t="s">
        <v>350</v>
      </c>
    </row>
    <row r="17" spans="1:2">
      <c r="A17" s="6" t="s">
        <v>275</v>
      </c>
      <c r="B17" s="8" t="s">
        <v>351</v>
      </c>
    </row>
    <row r="18" spans="1:2">
      <c r="A18" s="6" t="s">
        <v>276</v>
      </c>
      <c r="B18" s="8" t="s">
        <v>352</v>
      </c>
    </row>
    <row r="19" spans="1:2">
      <c r="A19" s="6" t="s">
        <v>277</v>
      </c>
      <c r="B19" s="8" t="s">
        <v>353</v>
      </c>
    </row>
    <row r="20" spans="1:2">
      <c r="A20" s="6" t="s">
        <v>278</v>
      </c>
      <c r="B20" s="8" t="s">
        <v>354</v>
      </c>
    </row>
    <row r="21" spans="1:2">
      <c r="A21" s="6" t="s">
        <v>279</v>
      </c>
      <c r="B21" s="8" t="s">
        <v>355</v>
      </c>
    </row>
    <row r="22" spans="1:2">
      <c r="A22" s="6" t="s">
        <v>280</v>
      </c>
      <c r="B22" s="8" t="s">
        <v>356</v>
      </c>
    </row>
    <row r="23" spans="1:2">
      <c r="A23" s="6" t="s">
        <v>281</v>
      </c>
      <c r="B23" s="8" t="s">
        <v>357</v>
      </c>
    </row>
    <row r="24" spans="1:2">
      <c r="A24" s="6" t="s">
        <v>282</v>
      </c>
      <c r="B24" s="4" t="s">
        <v>358</v>
      </c>
    </row>
    <row r="25" spans="1:2">
      <c r="A25" s="6" t="s">
        <v>283</v>
      </c>
      <c r="B25" s="5" t="s">
        <v>359</v>
      </c>
    </row>
    <row r="26" spans="1:2">
      <c r="A26" s="6" t="s">
        <v>284</v>
      </c>
      <c r="B26" s="5" t="s">
        <v>360</v>
      </c>
    </row>
    <row r="27" spans="1:2">
      <c r="A27" s="6" t="s">
        <v>285</v>
      </c>
      <c r="B27" s="4" t="s">
        <v>361</v>
      </c>
    </row>
    <row r="28" spans="1:2">
      <c r="A28" s="6" t="s">
        <v>286</v>
      </c>
      <c r="B28" s="9" t="s">
        <v>362</v>
      </c>
    </row>
    <row r="29" spans="1:2">
      <c r="A29" s="6" t="s">
        <v>294</v>
      </c>
      <c r="B29" s="5" t="s">
        <v>294</v>
      </c>
    </row>
    <row r="30" spans="1:2">
      <c r="A30" s="6" t="s">
        <v>295</v>
      </c>
      <c r="B30" s="4" t="s">
        <v>363</v>
      </c>
    </row>
    <row r="31" spans="1:2">
      <c r="A31" s="6" t="s">
        <v>296</v>
      </c>
      <c r="B31" s="4" t="s">
        <v>364</v>
      </c>
    </row>
    <row r="32" ht="20.75" customHeight="1" spans="1:2">
      <c r="A32" s="6" t="s">
        <v>297</v>
      </c>
      <c r="B32" s="9" t="s">
        <v>337</v>
      </c>
    </row>
    <row r="33" spans="1:2">
      <c r="A33" s="6" t="s">
        <v>298</v>
      </c>
      <c r="B33" s="5" t="s">
        <v>365</v>
      </c>
    </row>
    <row r="34" spans="1:2">
      <c r="A34" s="6" t="s">
        <v>299</v>
      </c>
      <c r="B34" s="5" t="s">
        <v>366</v>
      </c>
    </row>
    <row r="35" spans="1:2">
      <c r="A35" s="6" t="s">
        <v>300</v>
      </c>
      <c r="B35" s="5" t="s">
        <v>367</v>
      </c>
    </row>
    <row r="36" spans="1:2">
      <c r="A36" s="6" t="s">
        <v>314</v>
      </c>
      <c r="B36" s="4" t="s">
        <v>364</v>
      </c>
    </row>
    <row r="37" spans="1:2">
      <c r="A37" s="6" t="s">
        <v>315</v>
      </c>
      <c r="B37" s="9" t="s">
        <v>363</v>
      </c>
    </row>
    <row r="38" spans="1:2">
      <c r="A38" s="6" t="s">
        <v>316</v>
      </c>
      <c r="B38" s="5" t="s">
        <v>368</v>
      </c>
    </row>
    <row r="39" spans="1:2">
      <c r="A39" s="6" t="s">
        <v>317</v>
      </c>
      <c r="B39" s="5" t="s">
        <v>369</v>
      </c>
    </row>
    <row r="40" spans="1:2">
      <c r="A40" s="6" t="s">
        <v>318</v>
      </c>
      <c r="B40" s="5" t="s">
        <v>370</v>
      </c>
    </row>
    <row r="41" ht="20.75" customHeight="1" spans="1:2">
      <c r="A41" s="6" t="s">
        <v>297</v>
      </c>
      <c r="B41" s="4" t="s">
        <v>337</v>
      </c>
    </row>
    <row r="42" ht="20.75" customHeight="1" spans="1:2">
      <c r="A42" s="6" t="s">
        <v>296</v>
      </c>
      <c r="B42" s="4" t="s">
        <v>364</v>
      </c>
    </row>
    <row r="43" spans="1:2">
      <c r="A43" s="6" t="s">
        <v>319</v>
      </c>
      <c r="B43" s="4" t="s">
        <v>371</v>
      </c>
    </row>
    <row r="44" spans="1:2">
      <c r="A44" s="6" t="s">
        <v>320</v>
      </c>
      <c r="B44" s="5" t="s">
        <v>372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1-物料数据</vt:lpstr>
      <vt:lpstr>2-供需数据</vt:lpstr>
      <vt:lpstr>3-前置订单数据</vt:lpstr>
      <vt:lpstr>4-上次末生产物料</vt:lpstr>
      <vt:lpstr>5-产线数据</vt:lpstr>
      <vt:lpstr>6-产能数据</vt:lpstr>
      <vt:lpstr>车间班次</vt:lpstr>
      <vt:lpstr>换型规则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iPhone</cp:lastModifiedBy>
  <dcterms:created xsi:type="dcterms:W3CDTF">2026-10-18T03:37:56Z</dcterms:created>
  <dcterms:modified xsi:type="dcterms:W3CDTF">2026-10-18T03:38:01Z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ED58CD52A594CF6F193FD46A835D6942_33</vt:lpwstr>
  </property>
  <property fmtid="{D5CDD505-2E9C-101B-9397-08002B2CF9AE}" pid="3" name="KSOProductBuildVer">
    <vt:lpwstr>2052-26.9.2</vt:lpwstr>
  </property>
</Properties>
</file>